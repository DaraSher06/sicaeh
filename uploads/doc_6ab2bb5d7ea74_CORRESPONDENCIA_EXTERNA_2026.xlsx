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esktop\Areli Hernandez\2026\CORRESPONDENCIA 26\"/>
    </mc:Choice>
  </mc:AlternateContent>
  <bookViews>
    <workbookView xWindow="-120" yWindow="-120" windowWidth="20730" windowHeight="11040"/>
  </bookViews>
  <sheets>
    <sheet name="Correspondencia AEEH 2026" sheetId="81" r:id="rId1"/>
    <sheet name="Clasificaciones" sheetId="73" r:id="rId2"/>
    <sheet name="INDICADORES" sheetId="86" r:id="rId3"/>
    <sheet name="Formato Correspondencia" sheetId="83" r:id="rId4"/>
  </sheets>
  <definedNames>
    <definedName name="_xlnm._FilterDatabase" localSheetId="1" hidden="1">Clasificaciones!$T$1:$U$88</definedName>
    <definedName name="_xlnm._FilterDatabase" localSheetId="0" hidden="1">'Correspondencia AEEH 2026'!$A$2:$AH$299</definedName>
    <definedName name="_xlnm.Print_Area" localSheetId="0">'Correspondencia AEEH 2026'!$A$1:$AJ$299</definedName>
    <definedName name="_xlnm.Print_Area" localSheetId="3">'Formato Correspondencia'!$A$1:$J$12</definedName>
    <definedName name="_xlnm.Print_Area" localSheetId="2">INDICADORES!$A$1:$AU$80</definedName>
  </definedNames>
  <calcPr calcId="152511"/>
  <pivotCaches>
    <pivotCache cacheId="0" r:id="rId5"/>
    <pivotCache cacheId="1" r:id="rId6"/>
    <pivotCache cacheId="9"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73" l="1"/>
  <c r="B18" i="73"/>
  <c r="N15" i="73" l="1"/>
  <c r="B16" i="73" l="1"/>
  <c r="B15" i="73" l="1"/>
  <c r="B14" i="73" l="1"/>
  <c r="AD35" i="86" l="1"/>
  <c r="AC35" i="86"/>
  <c r="AD34" i="86"/>
  <c r="AC34" i="86"/>
  <c r="AD33" i="86"/>
  <c r="AC33" i="86"/>
  <c r="AD32" i="86"/>
  <c r="AC32" i="86"/>
  <c r="AD31" i="86"/>
  <c r="AC31" i="86"/>
  <c r="AD4" i="73" l="1"/>
  <c r="B7" i="73"/>
  <c r="H7" i="73"/>
  <c r="N7" i="73"/>
  <c r="U7" i="73"/>
  <c r="X7" i="73"/>
  <c r="AA7" i="73"/>
  <c r="AE86" i="81"/>
  <c r="AE87" i="81"/>
  <c r="AE111" i="81"/>
  <c r="AE81" i="81"/>
  <c r="AE80" i="81"/>
  <c r="AE78" i="81"/>
  <c r="AE104" i="81"/>
  <c r="AD8" i="86"/>
  <c r="AC8" i="86"/>
  <c r="AD7" i="86"/>
  <c r="AC7" i="86"/>
  <c r="AD6" i="86"/>
  <c r="AC6" i="86"/>
  <c r="AD5" i="86"/>
  <c r="AC5" i="86"/>
  <c r="AD4" i="86"/>
  <c r="AC4" i="86"/>
  <c r="AE265" i="81" l="1"/>
  <c r="AE47" i="81"/>
  <c r="AE26" i="81"/>
  <c r="AE221" i="81"/>
  <c r="AE48" i="81"/>
  <c r="AE49" i="81"/>
  <c r="AE52" i="81"/>
  <c r="AE3" i="81"/>
  <c r="AE218" i="81"/>
  <c r="AE217" i="81"/>
  <c r="AE215" i="81"/>
  <c r="AE216" i="81"/>
  <c r="AE4" i="81"/>
  <c r="AE54" i="81"/>
  <c r="AE55" i="81"/>
  <c r="AE56" i="81"/>
  <c r="AE57" i="81"/>
  <c r="AE254" i="81"/>
  <c r="AE267" i="81"/>
  <c r="AE227" i="81"/>
  <c r="AE65" i="81"/>
  <c r="AE228" i="81"/>
  <c r="AE229" i="81"/>
  <c r="AE59" i="81"/>
  <c r="AE58" i="81"/>
  <c r="AE60" i="81"/>
  <c r="AE62" i="81"/>
  <c r="AE63" i="81"/>
  <c r="AE67" i="81"/>
  <c r="AE66" i="81"/>
  <c r="AE68" i="81"/>
  <c r="AE70" i="81"/>
  <c r="AE69" i="81"/>
  <c r="AE250" i="81"/>
  <c r="AE73" i="81"/>
  <c r="AE74" i="81"/>
  <c r="AE72" i="81"/>
  <c r="AE75" i="81"/>
  <c r="AE79" i="81"/>
  <c r="AE82" i="81"/>
  <c r="AE84" i="81"/>
  <c r="AE90" i="81"/>
  <c r="AE85" i="81"/>
  <c r="AE88" i="81"/>
  <c r="AE6" i="81"/>
  <c r="AE89" i="81"/>
  <c r="AE100" i="81"/>
  <c r="AE93" i="81"/>
  <c r="AE94" i="81"/>
  <c r="AE95" i="81"/>
  <c r="AE8" i="81"/>
  <c r="AE96" i="81"/>
  <c r="AE103" i="81"/>
  <c r="AE112" i="81"/>
  <c r="AE98" i="81"/>
  <c r="AE99" i="81"/>
  <c r="AE97" i="81"/>
  <c r="AE266" i="81"/>
  <c r="AE101" i="81"/>
  <c r="AE102" i="81"/>
  <c r="AE171" i="81"/>
  <c r="AE195" i="81"/>
  <c r="AE232" i="81"/>
  <c r="AE246" i="81"/>
  <c r="AE197" i="81"/>
  <c r="AE198" i="81"/>
  <c r="AE199" i="81"/>
  <c r="AE200" i="81"/>
  <c r="AE201" i="81"/>
  <c r="AE255" i="81"/>
  <c r="AE202" i="81"/>
  <c r="AE106" i="81"/>
  <c r="AE203" i="81"/>
  <c r="AE109" i="81"/>
  <c r="AE107" i="81"/>
  <c r="AE105" i="81"/>
  <c r="AE274" i="81"/>
  <c r="AE110" i="81"/>
  <c r="AE173" i="81"/>
  <c r="AE177" i="81"/>
  <c r="AE204" i="81"/>
  <c r="AE205" i="81"/>
  <c r="AE206" i="81"/>
  <c r="AE207" i="81"/>
  <c r="AE248" i="81"/>
  <c r="AE114" i="81"/>
  <c r="AE115" i="81"/>
  <c r="AE119" i="81"/>
  <c r="AE118" i="81"/>
  <c r="AE122" i="81"/>
  <c r="AE121" i="81"/>
  <c r="N2" i="73" l="1"/>
  <c r="N3" i="73"/>
  <c r="O4" i="86" s="1"/>
  <c r="N4" i="73"/>
  <c r="O5" i="86" s="1"/>
  <c r="N5" i="73"/>
  <c r="O6" i="86" s="1"/>
  <c r="N6" i="73"/>
  <c r="O7" i="86" s="1"/>
  <c r="O8" i="86"/>
  <c r="N8" i="73"/>
  <c r="O9" i="86" s="1"/>
  <c r="N9" i="73"/>
  <c r="O10" i="86" s="1"/>
  <c r="N10" i="73"/>
  <c r="O11" i="86" s="1"/>
  <c r="N11" i="73"/>
  <c r="O12" i="86" s="1"/>
  <c r="N12" i="73"/>
  <c r="O13" i="86" s="1"/>
  <c r="O58" i="86"/>
  <c r="O56" i="86"/>
  <c r="O55" i="86"/>
  <c r="F4" i="86"/>
  <c r="E4" i="86"/>
  <c r="O21" i="86"/>
  <c r="O57" i="86"/>
  <c r="O25" i="86"/>
  <c r="O26" i="86"/>
  <c r="O24" i="86"/>
  <c r="O47" i="86"/>
  <c r="O49" i="86"/>
  <c r="O34" i="86"/>
  <c r="O44" i="86"/>
  <c r="O46" i="86"/>
  <c r="O48" i="86"/>
  <c r="I4" i="86"/>
  <c r="O20" i="86"/>
  <c r="O45" i="86"/>
  <c r="O23" i="86"/>
  <c r="O22" i="86"/>
  <c r="O33" i="86"/>
  <c r="O19" i="86"/>
  <c r="O35" i="86"/>
  <c r="G4" i="86"/>
  <c r="D4" i="86"/>
  <c r="O59" i="86" l="1"/>
  <c r="O27" i="86"/>
  <c r="O36" i="86"/>
  <c r="O50" i="86"/>
  <c r="N14" i="73"/>
  <c r="O15" i="86" s="1"/>
  <c r="AD42" i="86" l="1"/>
  <c r="AC42" i="86"/>
  <c r="AD41" i="86"/>
  <c r="AC41" i="86"/>
  <c r="AD40" i="86"/>
  <c r="AC40" i="86"/>
  <c r="AD39" i="86"/>
  <c r="AC39" i="86"/>
  <c r="AD38" i="86"/>
  <c r="AC38" i="86"/>
  <c r="AD37" i="86"/>
  <c r="AC37" i="86"/>
  <c r="AD36" i="86"/>
  <c r="AD43" i="86" s="1"/>
  <c r="AC36" i="86"/>
  <c r="AC43" i="86" s="1"/>
  <c r="AD15" i="86"/>
  <c r="AD14" i="86"/>
  <c r="AD13" i="86"/>
  <c r="AD12" i="86"/>
  <c r="AD11" i="86"/>
  <c r="AD10" i="86"/>
  <c r="AD9" i="86"/>
  <c r="AC15" i="86"/>
  <c r="AC14" i="86"/>
  <c r="AC13" i="86"/>
  <c r="AC12" i="86"/>
  <c r="AC11" i="86"/>
  <c r="AC10" i="86"/>
  <c r="AC9" i="86"/>
  <c r="N13" i="73"/>
  <c r="O14" i="86" s="1"/>
  <c r="AA3" i="73"/>
  <c r="AA4" i="73"/>
  <c r="AA5" i="73"/>
  <c r="AA6" i="73"/>
  <c r="AA8" i="73"/>
  <c r="AA9" i="73"/>
  <c r="AA10" i="73"/>
  <c r="AA11" i="73"/>
  <c r="AA12" i="73"/>
  <c r="AA13" i="73"/>
  <c r="AA2" i="73"/>
  <c r="AD3" i="73"/>
  <c r="AD5" i="73" s="1"/>
  <c r="AD2" i="73"/>
  <c r="AC16" i="86" l="1"/>
  <c r="AD16" i="86"/>
  <c r="AA19" i="73"/>
  <c r="B13" i="73"/>
  <c r="P2" i="73"/>
  <c r="W4" i="86" s="1"/>
  <c r="U16" i="73" l="1"/>
  <c r="U19" i="73"/>
  <c r="K3" i="73"/>
  <c r="K2" i="73"/>
  <c r="H3" i="73"/>
  <c r="H4" i="73"/>
  <c r="H5" i="73"/>
  <c r="H6" i="73"/>
  <c r="H8" i="73"/>
  <c r="H2" i="73"/>
  <c r="E4" i="73"/>
  <c r="E3" i="73"/>
  <c r="E2" i="73"/>
  <c r="B12" i="73"/>
  <c r="B11" i="73"/>
  <c r="B10" i="73"/>
  <c r="B9" i="73"/>
  <c r="B8" i="73"/>
  <c r="B6" i="73"/>
  <c r="B5" i="73"/>
  <c r="B4" i="73"/>
  <c r="B3" i="73"/>
  <c r="B2" i="73"/>
  <c r="B19" i="73" l="1"/>
  <c r="K4" i="73"/>
  <c r="H9" i="73"/>
  <c r="E5" i="73"/>
  <c r="U87" i="73" l="1"/>
  <c r="U86" i="73"/>
  <c r="U85" i="73"/>
  <c r="U84" i="73"/>
  <c r="U83" i="73"/>
  <c r="U82" i="73"/>
  <c r="U81" i="73"/>
  <c r="U80" i="73"/>
  <c r="U79" i="73"/>
  <c r="U78" i="73"/>
  <c r="U77" i="73"/>
  <c r="U76" i="73"/>
  <c r="U75" i="73"/>
  <c r="U74" i="73"/>
  <c r="U73" i="73"/>
  <c r="U72" i="73"/>
  <c r="U71" i="73"/>
  <c r="U70" i="73"/>
  <c r="U69" i="73"/>
  <c r="U68" i="73"/>
  <c r="U67" i="73"/>
  <c r="U66" i="73"/>
  <c r="U65" i="73"/>
  <c r="U64" i="73"/>
  <c r="U63" i="73"/>
  <c r="U62" i="73"/>
  <c r="U61" i="73"/>
  <c r="U60" i="73"/>
  <c r="U59" i="73"/>
  <c r="U58" i="73"/>
  <c r="U57" i="73"/>
  <c r="U56" i="73"/>
  <c r="U55" i="73"/>
  <c r="U54" i="73"/>
  <c r="U53" i="73"/>
  <c r="U52" i="73"/>
  <c r="U51" i="73"/>
  <c r="U50" i="73"/>
  <c r="U49" i="73"/>
  <c r="U48" i="73"/>
  <c r="U47" i="73"/>
  <c r="U46" i="73"/>
  <c r="U45" i="73"/>
  <c r="U44" i="73"/>
  <c r="U43" i="73"/>
  <c r="U42" i="73"/>
  <c r="U41" i="73"/>
  <c r="U40" i="73"/>
  <c r="U39" i="73"/>
  <c r="U38" i="73"/>
  <c r="U37" i="73"/>
  <c r="U36" i="73"/>
  <c r="U35" i="73"/>
  <c r="U34" i="73"/>
  <c r="U33" i="73"/>
  <c r="U32" i="73"/>
  <c r="U31" i="73"/>
  <c r="U30" i="73"/>
  <c r="U29" i="73"/>
  <c r="U28" i="73"/>
  <c r="U27" i="73"/>
  <c r="U26" i="73"/>
  <c r="U25" i="73"/>
  <c r="U24" i="73"/>
  <c r="U23" i="73"/>
  <c r="U22" i="73"/>
  <c r="U21" i="73"/>
  <c r="U20" i="73"/>
  <c r="U15" i="73"/>
  <c r="U14" i="73"/>
  <c r="X13" i="73"/>
  <c r="U13" i="73"/>
  <c r="X12" i="73"/>
  <c r="U12" i="73"/>
  <c r="X11" i="73"/>
  <c r="U11" i="73"/>
  <c r="X10" i="73"/>
  <c r="U10" i="73"/>
  <c r="X9" i="73"/>
  <c r="U9" i="73"/>
  <c r="X8" i="73"/>
  <c r="U8" i="73"/>
  <c r="X6" i="73"/>
  <c r="U6" i="73"/>
  <c r="X5" i="73"/>
  <c r="U5" i="73"/>
  <c r="X4" i="73"/>
  <c r="U4" i="73"/>
  <c r="X3" i="73"/>
  <c r="U3" i="73"/>
  <c r="X2" i="73"/>
  <c r="U2" i="73"/>
  <c r="N16" i="73"/>
  <c r="Q2" i="73" l="1"/>
  <c r="U88" i="73"/>
  <c r="O3" i="86"/>
  <c r="O16" i="86" s="1"/>
  <c r="R2" i="73"/>
  <c r="Y4" i="86" s="1"/>
  <c r="X4" i="86"/>
  <c r="X19" i="73"/>
</calcChain>
</file>

<file path=xl/sharedStrings.xml><?xml version="1.0" encoding="utf-8"?>
<sst xmlns="http://schemas.openxmlformats.org/spreadsheetml/2006/main" count="7629" uniqueCount="1878">
  <si>
    <t>ASUNTO</t>
  </si>
  <si>
    <t>RESPONSABLE DE DAR ATENCIÓN</t>
  </si>
  <si>
    <t>SI</t>
  </si>
  <si>
    <t>NO</t>
  </si>
  <si>
    <t>ARQ. ORLANDO</t>
  </si>
  <si>
    <t>CLASIFICACIONES DE SOLICITUDES
 DE LA AEEH</t>
  </si>
  <si>
    <t>No.</t>
  </si>
  <si>
    <t xml:space="preserve"> </t>
  </si>
  <si>
    <t>1 ACATLÁN</t>
  </si>
  <si>
    <t>2 ACAXOCHITLÁN</t>
  </si>
  <si>
    <t>3 ACTOPAN</t>
  </si>
  <si>
    <t>4 AGUA BLANCA DE ITURBIDE</t>
  </si>
  <si>
    <t>5 AJACUBA</t>
  </si>
  <si>
    <t>6 ALFAJAYUCAN</t>
  </si>
  <si>
    <t>7 ALMOLOYA</t>
  </si>
  <si>
    <t>8 APAN</t>
  </si>
  <si>
    <t>9 EL ARENAL</t>
  </si>
  <si>
    <t>10 ATITALAQUIA</t>
  </si>
  <si>
    <t>11 ATLAPEXCO</t>
  </si>
  <si>
    <t>12 ATOTONILCO EL GRANDE</t>
  </si>
  <si>
    <t>13 ATOTONILCO DE TULA</t>
  </si>
  <si>
    <t>14 CALNALI</t>
  </si>
  <si>
    <t>15 CARDONAL</t>
  </si>
  <si>
    <t>16 CUAUTEPEC DE HINOJOSA</t>
  </si>
  <si>
    <t>17 CHAPANTONGO</t>
  </si>
  <si>
    <t>18 CHAPULHUACÁN</t>
  </si>
  <si>
    <t>19 CHILCUAUTLA</t>
  </si>
  <si>
    <t>20 ELOXOCHITLÁN</t>
  </si>
  <si>
    <t>21 EMILIANO ZAPATA</t>
  </si>
  <si>
    <t>22 EPAZOYUCAN</t>
  </si>
  <si>
    <t>23 FRANCISCO I. MADERO</t>
  </si>
  <si>
    <t>24 HUASCA DE OCAMPO</t>
  </si>
  <si>
    <t>25 HUAUTLA</t>
  </si>
  <si>
    <t>26 HUAZALINGO</t>
  </si>
  <si>
    <t>27 HUEHUETLA</t>
  </si>
  <si>
    <t>28 HUEJUTLA DE REYES</t>
  </si>
  <si>
    <t>29 HUICHAPAN</t>
  </si>
  <si>
    <t>30 IXMIQUILPAN</t>
  </si>
  <si>
    <t>31 JACALA DE LEDEZMA</t>
  </si>
  <si>
    <t>32 JALTOCÁN</t>
  </si>
  <si>
    <t>33 JUÁREZ HIDALGO</t>
  </si>
  <si>
    <t>34 LOLOTLA</t>
  </si>
  <si>
    <t>35 METEPEC</t>
  </si>
  <si>
    <t>36 SAN AGUSTÍN METZQUITITLÁN</t>
  </si>
  <si>
    <t>37 METZTITLÁN</t>
  </si>
  <si>
    <t>38 MINERAL DEL CHICO</t>
  </si>
  <si>
    <t>39 MINERAL DEL MONTE</t>
  </si>
  <si>
    <t>40 LA MISIÓN</t>
  </si>
  <si>
    <t>41 MIXQUIAHUALA DE JUÁREZ</t>
  </si>
  <si>
    <t>42 MOLANGO DE ESCAMILLA</t>
  </si>
  <si>
    <t>43 NICOLÁS FLORES</t>
  </si>
  <si>
    <t>44 NOPALA DE VILLAGRÁN</t>
  </si>
  <si>
    <t>45 OMITLÁN DE JUÁREZ</t>
  </si>
  <si>
    <t>46 SAN FELIPE ORIZATLÁN</t>
  </si>
  <si>
    <t>47 PACULA</t>
  </si>
  <si>
    <t>48 PACHUCA DE SOTO</t>
  </si>
  <si>
    <t>49 PISAFLORES</t>
  </si>
  <si>
    <t>50 PROGRESO DE OBREGÓN</t>
  </si>
  <si>
    <t>51 MINERAL DE LA REFORMA</t>
  </si>
  <si>
    <t>52 SAN AGUSTÍN TLAXIACA</t>
  </si>
  <si>
    <t>53 SAN BARTOLO TUTOTEPEC</t>
  </si>
  <si>
    <t>54 SAN SALVADOR</t>
  </si>
  <si>
    <t>55 SANTIAGO DE ANAYA</t>
  </si>
  <si>
    <t>56 SANTIAGO TULANTEPEC DE LUGO GUERRERO</t>
  </si>
  <si>
    <t>57 SINGUILUCAN</t>
  </si>
  <si>
    <t>58 TASQUILLO</t>
  </si>
  <si>
    <t>59 TECOZAUTLA</t>
  </si>
  <si>
    <t>60 TENANGO DE DORIA</t>
  </si>
  <si>
    <t>61 TEPEAPULCO</t>
  </si>
  <si>
    <t>62 TEPEHUACÁN DE GUERRERO</t>
  </si>
  <si>
    <t>63 TEPEJI DEL RÍO DE OCAMPO</t>
  </si>
  <si>
    <t>64 TEPETITLÁN</t>
  </si>
  <si>
    <t>65 TETEPANGO</t>
  </si>
  <si>
    <t>66 VILLA DE TEZONTEPEC</t>
  </si>
  <si>
    <t>67 TEZONTEPEC DE ALDAMA</t>
  </si>
  <si>
    <t>68 TIANGUISTENGO</t>
  </si>
  <si>
    <t>69 TIZAYUCA</t>
  </si>
  <si>
    <t>70 TLAHUELILPAN</t>
  </si>
  <si>
    <t>71 TLAHUILTEPA</t>
  </si>
  <si>
    <t>72 TLANALAPA</t>
  </si>
  <si>
    <t>73 TLANCHINOL</t>
  </si>
  <si>
    <t>74 TLAXCOAPAN</t>
  </si>
  <si>
    <t>75 TOLCAYUCA</t>
  </si>
  <si>
    <t>76 TULA DE ALLENDE</t>
  </si>
  <si>
    <t>77 TULANCINGO DE BRAVO</t>
  </si>
  <si>
    <t>78 XOCHIATIPAN</t>
  </si>
  <si>
    <t>79 XOCHICOATLÁN</t>
  </si>
  <si>
    <t>80 YAHUALICA</t>
  </si>
  <si>
    <t>81 ZACUALTIPÁN DE ÁNGELES</t>
  </si>
  <si>
    <t>82 ZAPOTLÁN DE JUÁREZ</t>
  </si>
  <si>
    <t>83 ZEMPOALA</t>
  </si>
  <si>
    <t>84 ZIMAPÁN</t>
  </si>
  <si>
    <t>1 ELECTRIFICACIÓN</t>
  </si>
  <si>
    <t xml:space="preserve">2 ALUMBRADO PÚBLICO </t>
  </si>
  <si>
    <t>3 TELECOMUNICACIONES</t>
  </si>
  <si>
    <t>5 EFICIENCIA ENERGÉTICA</t>
  </si>
  <si>
    <t>6 ENERGÍAS RENOVABLES</t>
  </si>
  <si>
    <t>7 INFRAESTRUCTURA ELÉCTRICA</t>
  </si>
  <si>
    <t>8 MEJORAS ENERGÉTICAS</t>
  </si>
  <si>
    <t>9 SISTEMA FOTOVOLTAICO INTERCONECTADO A LA RED ELÉCTRICA</t>
  </si>
  <si>
    <t>10 SISTEMA FOTOVOLTAICO AISLADO</t>
  </si>
  <si>
    <t>11 ALTOS COSTOS Y ADEUDOS</t>
  </si>
  <si>
    <t>12 REUBICACIÓN DE POSTE</t>
  </si>
  <si>
    <t>13 RIEGO AGRICOLA</t>
  </si>
  <si>
    <t>14 ADMTVO./PERSONAL</t>
  </si>
  <si>
    <t>ENERO</t>
  </si>
  <si>
    <t>FEBRERO</t>
  </si>
  <si>
    <t>MARZO</t>
  </si>
  <si>
    <t>ABRIL</t>
  </si>
  <si>
    <t>MAYO</t>
  </si>
  <si>
    <t>JUNIO</t>
  </si>
  <si>
    <t>JULIO</t>
  </si>
  <si>
    <t>AGOSTO</t>
  </si>
  <si>
    <t>SEPTIEMBRE</t>
  </si>
  <si>
    <t>OCTUBRE</t>
  </si>
  <si>
    <t>NOVIEMBRE</t>
  </si>
  <si>
    <t>DICIEMBRE</t>
  </si>
  <si>
    <t>Municipio</t>
  </si>
  <si>
    <t>Mes de solicitud</t>
  </si>
  <si>
    <t>Total de solicitudes</t>
  </si>
  <si>
    <t>No. De solicitudes</t>
  </si>
  <si>
    <t>Municipios con solicitud</t>
  </si>
  <si>
    <t>Municipios con solicitudes</t>
  </si>
  <si>
    <t>Mes de atención</t>
  </si>
  <si>
    <t>TOTALES</t>
  </si>
  <si>
    <t>Beneficiarios Indirectos</t>
  </si>
  <si>
    <t>beneficiarios indirectos</t>
  </si>
  <si>
    <t>Total de beneficiarios por mes</t>
  </si>
  <si>
    <t>TOTAL</t>
  </si>
  <si>
    <t>Municipios Hgo</t>
  </si>
  <si>
    <t>DIVISIONES
C F E</t>
  </si>
  <si>
    <t>LOCALIDAD</t>
  </si>
  <si>
    <t>CENTRO ORIENTE</t>
  </si>
  <si>
    <t>DIVISION BAJIO</t>
  </si>
  <si>
    <t>GOLFO CENTRO</t>
  </si>
  <si>
    <t xml:space="preserve">A s u n t o / Peticionario </t>
  </si>
  <si>
    <t>Vo.Bo. Director</t>
  </si>
  <si>
    <t>Fecha de 
Turno
Recepción AEEH</t>
  </si>
  <si>
    <t>No. de Turno</t>
  </si>
  <si>
    <t>No. de Tarjeta y/o No. oficio</t>
  </si>
  <si>
    <t>ARQ. DIEGO</t>
  </si>
  <si>
    <t>ARQ. ORLANDO
ING. FRANCISCO</t>
  </si>
  <si>
    <t>ING. FRANCISCO</t>
  </si>
  <si>
    <t>ARQ. ORLANDO
ARQ. DIEGO</t>
  </si>
  <si>
    <t>ARQ. ORLANDO
ING. FRANCISCO
ARQ. DIEGO</t>
  </si>
  <si>
    <t>ING. FRANCISCO
ARQ. DIEGO</t>
  </si>
  <si>
    <t>MES</t>
  </si>
  <si>
    <t>NO. DE OFICIO</t>
  </si>
  <si>
    <t>LIC. ARELI</t>
  </si>
  <si>
    <t>LIC. ARELI
ING. FRANCISCO</t>
  </si>
  <si>
    <t xml:space="preserve">FECHA DE TURNO </t>
  </si>
  <si>
    <t>Municipios sin solicitud</t>
  </si>
  <si>
    <t>Etiquetas de fila</t>
  </si>
  <si>
    <t>Total general</t>
  </si>
  <si>
    <t>Cuenta de TIPO DE SOLICITUD</t>
  </si>
  <si>
    <t xml:space="preserve">CLASIFICACIÓN </t>
  </si>
  <si>
    <t xml:space="preserve">TURNADO A </t>
  </si>
  <si>
    <t>NIVEL DE PRIORIDAD</t>
  </si>
  <si>
    <t>FIRMA Y FECHA DE QUIEN RECIBE</t>
  </si>
  <si>
    <t xml:space="preserve">                                             CONTROL EXTERNO DE CORRESPONDECIA DPIE  2026</t>
  </si>
  <si>
    <t>Fecha de 
Recibido por la DPIE</t>
  </si>
  <si>
    <t>039</t>
  </si>
  <si>
    <t>UPLAPH/COEMERE/013/2026</t>
  </si>
  <si>
    <t xml:space="preserve">AEEH-2*1S/04-2026 
MEJORA REGULATORIA </t>
  </si>
  <si>
    <t>FECHA DE RECEPCIÓN POR LA DPIE</t>
  </si>
  <si>
    <t xml:space="preserve">1.- ADEUDO </t>
  </si>
  <si>
    <t>2.- ALUMBRADO PÚBLICO</t>
  </si>
  <si>
    <t>No. DE SOLICITUDES</t>
  </si>
  <si>
    <t>ING. SANDRA</t>
  </si>
  <si>
    <t>¿SOLICITUD ATENDIDA?</t>
  </si>
  <si>
    <t>EN PROCESO</t>
  </si>
  <si>
    <t xml:space="preserve">TOTAL DE SOLICITUDES </t>
  </si>
  <si>
    <t xml:space="preserve">SOLICITUD INGRESADA POR </t>
  </si>
  <si>
    <t>CIUDADANO (A)</t>
  </si>
  <si>
    <t xml:space="preserve">DELEGADO (A) MUNICIPAL </t>
  </si>
  <si>
    <t xml:space="preserve">DEPENDENCIA ESTATAL </t>
  </si>
  <si>
    <t xml:space="preserve">DEPENDENCIA FEDERAL  </t>
  </si>
  <si>
    <t>INSTITUCIÓN EDUCATIVA</t>
  </si>
  <si>
    <t xml:space="preserve">EMPRESA PRIVADA </t>
  </si>
  <si>
    <t xml:space="preserve">AYUNTAMIENTO  </t>
  </si>
  <si>
    <t xml:space="preserve">ATENCIÓN AL PUEBLO </t>
  </si>
  <si>
    <t>MUNICIPIO</t>
  </si>
  <si>
    <t xml:space="preserve">MUNICIPIOS TOTALES </t>
  </si>
  <si>
    <t xml:space="preserve">MUNICIPIOS CON SOLICITUD </t>
  </si>
  <si>
    <t>MUNICIPIOS SIN SOLICITUD</t>
  </si>
  <si>
    <t xml:space="preserve">MUNICIPIO </t>
  </si>
  <si>
    <t xml:space="preserve">TOTAL DE SOLICITUDES POR MUNICIPIO </t>
  </si>
  <si>
    <t xml:space="preserve">GÉNERO </t>
  </si>
  <si>
    <t xml:space="preserve">MASCULINO </t>
  </si>
  <si>
    <t xml:space="preserve">FEMENINO </t>
  </si>
  <si>
    <t>NÚMERO DE TELÉFONO</t>
  </si>
  <si>
    <t xml:space="preserve">CORREO ELECTRÓNICO </t>
  </si>
  <si>
    <t>021</t>
  </si>
  <si>
    <t>SEDECO/CGI/0013/2026</t>
  </si>
  <si>
    <t xml:space="preserve">DESIGNAR UN ENLACE PARA EL SEGUIMIENTO Y RESOLUCIÓN DE LAS SOLICITUDES DE LA DIRECCIÓN DE ATENCIÓN AL PUEBLO </t>
  </si>
  <si>
    <t>BAJO</t>
  </si>
  <si>
    <t>N/A</t>
  </si>
  <si>
    <t>LA COEMERE SOLICITA ELABORAR LA ACTUALIZACIÓN DEL CIERRE DEL PROGRAMA ANUAL DE MEJORA REGULATORIA 2025 EN LA PLATAFORMA AID-RUTS</t>
  </si>
  <si>
    <t>ALTO</t>
  </si>
  <si>
    <t>022</t>
  </si>
  <si>
    <t>JILIAPAN</t>
  </si>
  <si>
    <t>SOLICITA ATENDER A LA C. ANASTACIA MARTÍNEZ CORDERO, QUIEN SOLICITA APOYO PARA REUBICAR UN POSTE DE LUZ UBICADO DENTRO DE LA ESCUELA PRIMARIA "BENITO JUAREZ"</t>
  </si>
  <si>
    <t>MEDIO</t>
  </si>
  <si>
    <t>023</t>
  </si>
  <si>
    <t xml:space="preserve">SOLICITA SE LE DE ATENCIÓN AL C. EDUARDO MONTES CUELLAR , QUIEN SOLICITA APOYO PARA DAR CONTINUIDAD A LA AMPLIACIÓN DE RED ELÉCTRICA DE SU CALLE </t>
  </si>
  <si>
    <t>LA NUEZ</t>
  </si>
  <si>
    <t>075</t>
  </si>
  <si>
    <t>076</t>
  </si>
  <si>
    <t>SH-SI-DGR-DCU-165/2026</t>
  </si>
  <si>
    <t xml:space="preserve">RESPUESTA AL OFICIO AEEH/DG/019/2026, INFORMA EL NÚMERO DE UNIDADES HÍBRIDAS, ELÉCTRICOS Y PLUG-IN EN EL ESTADO </t>
  </si>
  <si>
    <t>079</t>
  </si>
  <si>
    <t>S/N</t>
  </si>
  <si>
    <t>SANTA CRUZ</t>
  </si>
  <si>
    <t>068</t>
  </si>
  <si>
    <t xml:space="preserve">ARQ ORLANDO </t>
  </si>
  <si>
    <t xml:space="preserve">BRINDAR ATENCIÓN  AL DIRECTOR DE PROYECTOS DE ENERGÍA REGIONAL, QUIEN DESEA PRESENTAR UN PROYECTO DE ELECTRICIDAD </t>
  </si>
  <si>
    <t>013</t>
  </si>
  <si>
    <t>SEMARNATH/DESP/DGOET-748/2026</t>
  </si>
  <si>
    <t>PROPORCIONAR PLANES, PROGRAMAS Y PROYECTOS A DESARROLLAR A CORTO, MEDIANO Y LARGO PLAZO, A EFECTO DE VALORAR SU IMPACTO EN LA ZONA DE ESTUDIO Y ASÍ FORMULAR EL POEL EN ATITALAQUIA, AJACUBA, HUASCA DE OCAMPO, TEPEJÍ DEL RÍO, TLAXCOAPAN Y SAN SALVADOR.</t>
  </si>
  <si>
    <t>082</t>
  </si>
  <si>
    <t>SEMARNATH/DESP-0047/2026</t>
  </si>
  <si>
    <t xml:space="preserve">INFORMAR ACCIONES DE INTERVENCIÓN REALIZADAS EN LA ATENCIÓN DEL EVENTO METEÓROLOGICO, LECCIONES APRENDIDAS, ACCIONES DE CARÁCTER PREVENTIVO PARA EVITAR AFECTACIONES </t>
  </si>
  <si>
    <t>083</t>
  </si>
  <si>
    <t>MHH/EMA/003/2026</t>
  </si>
  <si>
    <t>INVITACIÓN AL TALLER DE PARTICIPACIÓN SOCIAL DEL POELP, EL DÍA 11 DE FEBRERO A LAS 11:00 HORAS</t>
  </si>
  <si>
    <t>089</t>
  </si>
  <si>
    <t>UPLAPH/COEMERE/105/2026</t>
  </si>
  <si>
    <t xml:space="preserve">DESIGNACIÓN O RATIFICACIÓN DE LOS ENLACES ANTE LA COMISIÓN DE MEJORA REGULATORIA </t>
  </si>
  <si>
    <t>019</t>
  </si>
  <si>
    <t>ARQ. ORLANDO 
ING. SANDRA</t>
  </si>
  <si>
    <t>090</t>
  </si>
  <si>
    <t xml:space="preserve">ATEN DER AL C. DAVID RAMIREZ VALENCIA, QUIEN SOLICITA APOYO CON LA INSTALACIÓN DE ALUMBRADO PÚBLICO </t>
  </si>
  <si>
    <t>102</t>
  </si>
  <si>
    <t xml:space="preserve">INVITACIÓN A LA EXPO RE + MÉXICO Y ECOMONDO DEL 14 AL 16 DE ABRIL EN GUADALAJARA </t>
  </si>
  <si>
    <t>103</t>
  </si>
  <si>
    <t xml:space="preserve">ATENDER A LA C. MARÍA DE JESÚS VILLEGAS CERVANTES, PARA BENEFICIARLA CON ALUMBRADO PÚBLICO </t>
  </si>
  <si>
    <t>SAN JUAN TEPERNAZALCO</t>
  </si>
  <si>
    <t>108</t>
  </si>
  <si>
    <t>SDZDDH/00051/2026</t>
  </si>
  <si>
    <t>RESPUESTA AL OFICIO AEEH/DG/060/2026, SE AGENDA A REUNIÓN VIRTUAL CON CFE ZONA HUEJUTLA, EL 10 DE FEBRERO</t>
  </si>
  <si>
    <t>109</t>
  </si>
  <si>
    <t xml:space="preserve">DE CONOCIMIENTO </t>
  </si>
  <si>
    <t xml:space="preserve">ASESORÍA ARCHIVISTICA EL JUEVES 12 DE FEBRERO A LAS 15:30 HORAS EN LAS INSTALACIONES DEL ARCHIVO GENERAL DEL ESTADO  </t>
  </si>
  <si>
    <t xml:space="preserve">EL LIC. MARTIN, ENLACE DE ARCHIVO DE LA AEEH, ASISTE  A LA CAPACITACIÓN PARA LLEVAR EL PROCESO DE VALIDACIÓN DE SERIES ARCHIVISTICAS </t>
  </si>
  <si>
    <t>071</t>
  </si>
  <si>
    <t>SEDECO/0073/2026</t>
  </si>
  <si>
    <t>INFORMAR GASTO DE INVERSIÓN, DISPOSICIONES GENERALES ALINEADOS AL MANUAL DE NORMAS Y LINEAMIENTOS PARA EL EJERCICIO DE LOS RECURSOS DEL GASTO DE INVERSIÓN VIGENTE</t>
  </si>
  <si>
    <t>116</t>
  </si>
  <si>
    <t>SOLICITA ATENDER AL C. JUAN GUZMÁN EVARISTO, QUIEN SOLICITA APOYO PARA LA ADQUISICIÓN DE PANELES SOLARES PARA BALNEARIO DE SU COMUNIDAD</t>
  </si>
  <si>
    <t>SANTA MARÍA</t>
  </si>
  <si>
    <t>125</t>
  </si>
  <si>
    <t>SEDECO/SIyES/015/2026</t>
  </si>
  <si>
    <t>126</t>
  </si>
  <si>
    <t>SEGUIMIENTO AL PARQUE INDUSTRIAL DE TEPEJÍ DEL RÍO, ERIKA PATRICIA MENDOZA SOLICITA MEDICACIÓN CON CFE ZONA TULA PARA EL Vo. Bo. DEL DESECHO DELA VÍA DE LINEA DE ALTA TENSIÓN</t>
  </si>
  <si>
    <t>123</t>
  </si>
  <si>
    <t>LAS NUECES</t>
  </si>
  <si>
    <t>138</t>
  </si>
  <si>
    <t>128</t>
  </si>
  <si>
    <t>IHDM/DG/021/2026</t>
  </si>
  <si>
    <t xml:space="preserve">EL INSTITUTO HIDALGUENSE PARA EL DESARROLLO MUNICIPAL, SOLICITA LA DESIGNACIÓN DE ENLACE PARA APOYAR Y ACERCAR HERRAMIENTAS A LOS GOBIERNOS MUNICIPALES </t>
  </si>
  <si>
    <t>129</t>
  </si>
  <si>
    <t>IHDM/DG/024/2026</t>
  </si>
  <si>
    <t>RESULTADOS DE LA GUÍA CONSULTIVA DE DESEMPEÑO MUNICIPAL 2025, APLICADA A LOS 84 MUNICIPIOS PARA ANALIZAR Y ESTABLECER ACCIONES QUE CONFORMEN EL PLAN ESTRATEGICO DE FORTALECIMIENTO MUNICIPAL</t>
  </si>
  <si>
    <t>130</t>
  </si>
  <si>
    <t>OM/0225-14/2026</t>
  </si>
  <si>
    <t>DESIGNACIÓN DE ENLACE INSTITUCIONAL DEL PROGRAMA DE SERVICIO SOCIAL Y PRÁCTICAS PROFESIONALES ANTE OFICILÍA MAYOR</t>
  </si>
  <si>
    <t>137</t>
  </si>
  <si>
    <t>S/N CFE</t>
  </si>
  <si>
    <t>RESPUESTA A OFICIO AEEH/DG/741/2025, SOLICITUD DE APOYO PARA ELECTRIFICACIÓN EN EL PROGRAMA FSUE EN LA LOCALIDAD MONARCA Y SANTA MARTHA EN TIZAYUCA</t>
  </si>
  <si>
    <t>DE CONOCIMIENTO, ES SEGUIMIENTO A EXPEDIENTE 2025</t>
  </si>
  <si>
    <t>RESPUESTA A OFICIO AEEH/DG/545/2025, SOLICITUD DE APOYO PARA CONSIDERAR ELECTRIFICACIÓN EN EL PROGRAME FSUE A SAN JOSE TEPENENE, MPIO. DE EL ARENAL</t>
  </si>
  <si>
    <t>139</t>
  </si>
  <si>
    <t>RESPUESTA A OFICIO AEEH/DG/520/2025, INFORMAN OBRAS EJECUTADAS EN EL SEGUNDO SEMESTRE 2025, PARA AMPLIACIÓN DE REDES ELÉCTRICAS</t>
  </si>
  <si>
    <t>140</t>
  </si>
  <si>
    <t>MMHR-106-2026</t>
  </si>
  <si>
    <t>RESPUESTA A OFICIO AEEH/DG/521/2025, REPORTE DE OBRAS DE AMPLIACIÓN DE REDES EJECUTADAS DURANTE EL EJERCICIO FISCAL 2025 EN LA ZONA TULANCINGO</t>
  </si>
  <si>
    <t>143</t>
  </si>
  <si>
    <t>144</t>
  </si>
  <si>
    <t>UPLAPH/COEMERE/114/2026</t>
  </si>
  <si>
    <t>NOTIFICAN LA CONCLUSIÓN SATISFACTORIA DEL PLAN ANUAL DE MEJORA REGULATORIA 2025 DE LA AEEH</t>
  </si>
  <si>
    <t>CFEE.-011.2026</t>
  </si>
  <si>
    <t>CONVEE, REITERA SU DISPOSICIÓN PARA COLABORAR DE MANERA COORDINADA CON LOS GOBIERNOS ESTATALES</t>
  </si>
  <si>
    <t>771 688 6026</t>
  </si>
  <si>
    <t>SDG/DGAP/113/2026
SEDECO/CGI/TI/0027/2026</t>
  </si>
  <si>
    <t>772 117 4762</t>
  </si>
  <si>
    <t>772 119 5254</t>
  </si>
  <si>
    <t>SDG/DGAP/119/2026
SEDECO/CGI/TI/0028/2026</t>
  </si>
  <si>
    <t>SDPEE/0044/2026
SEDECO/CGI/TI/0107/2026</t>
  </si>
  <si>
    <t>55 41 77 30 76</t>
  </si>
  <si>
    <t>INVITACIÓN A LA REUNIÓN DE TRABAJO PARA ANALIZAR EL DIAGNÓSTICO HÍDRICO ESTATAL Y DEFINIR ESTRATEGIAS REGIONALES POR ACUIFERO, EL 11 DE FEBRERO EN SEMARNATH</t>
  </si>
  <si>
    <t>SEMARNATH/DESP/DGCyPH-0762/2026
SEDECO/CGI/TI/0032/2026</t>
  </si>
  <si>
    <t>771 112 2551</t>
  </si>
  <si>
    <t>SDPEE/DGAP/163/2026
SEDECO/CGI/TI/0121/2026</t>
  </si>
  <si>
    <t>SDPEE/DGAP/213/2026
SEDECO/CGI/TI/0124/2026</t>
  </si>
  <si>
    <t>561 161 3676</t>
  </si>
  <si>
    <t>771 203 8521</t>
  </si>
  <si>
    <t>SDPEE/DGAP/234/2026
SEDECO/CGI/TI/0124/2026</t>
  </si>
  <si>
    <t>LA C. BENITA VELASCO VITE, SOLICITA GESTIÓN ANTE CFE PARA LA CONTRATACIÓN DE SERVICIO Y AMPLIACIÓN DE ENERGÍA ELÉCTRICA EN SU DOMICILIO</t>
  </si>
  <si>
    <t>SEDECO/CGI/TI/0156/2026
SDPEE/DGAP/339/2026</t>
  </si>
  <si>
    <t>ATENDER AL C. MIGUEL ALONSO HERNÁNDEZ (ANGELICA ALONSO GONZALEZ), PARA CONECTARSE A LA RED DE ENERGÍA ELÉCTRICA EN LA COMUNIDAD DE LAS NUECES, HUEJUTLA (TLANCHINOL)</t>
  </si>
  <si>
    <t xml:space="preserve">EN FEBRERO 2026, SE ELABORÓ UN INFORME REDACTANDO LA ATENCIÓN A LA VAGUADA MONZÓNICA EN TIANGUISTENGO </t>
  </si>
  <si>
    <t>EL ARQ. ORLANDO TUVO UNA REUNIÓN VIRTUAL CON EL ING. CARLOS ARTEAGA JIMÉNEZ DEL DEPARTAMENTO DE PLANEACIÓN DE LA CFE ZONA HUEJUTLA</t>
  </si>
  <si>
    <t>DE CONOCIMIENTO, ES SEGUIMIENTO A EXPEDIENTE 2025.
La C. Juliana Romero Alemán, Gestora Social del Estado de México, solicita apoyo para ingresar los proyectos de electrificación para las colonias Monarca y Santa Martha, del Mpio. Dde Tizayuca, al programa del Fondo de Servicio Universal Eléctrico (FUSUE)</t>
  </si>
  <si>
    <t>142</t>
  </si>
  <si>
    <t>149</t>
  </si>
  <si>
    <t>150</t>
  </si>
  <si>
    <t>151</t>
  </si>
  <si>
    <t>152</t>
  </si>
  <si>
    <t>153</t>
  </si>
  <si>
    <t>158</t>
  </si>
  <si>
    <t>SEDECO /CGI/TI/188/2026</t>
  </si>
  <si>
    <t xml:space="preserve">INVITACIÓN A LA OCTAVA SESIÓN ORDINARIA DEL SUBCOMITÉ SECTORIAL DE MEDIO AMBIENTE Y RECURSOS NATURALES DEL COPLADEHI, EL JUEVES 26 A LAS 11:00, EN MODALIDAD VIRTUAL. </t>
  </si>
  <si>
    <t xml:space="preserve">SOLICITA SE LE DE ATENCIÓN AL C. PEDRO MOEDANO BACA, QUIEN SOLICITA INSTALACIÓN DE UNA RED DE ALUMBRADO PÚBLICO </t>
  </si>
  <si>
    <t>SOLICITA SE LE DE ATENCIÓN A LA C. JUANA ELIZARRAGA VÁZQUEZ, QUIEN SOLICITA APOYO PARA  LA AMPLIACIÓN O CONTINUIDAD DE LUZ CON POSTES FALTANTES</t>
  </si>
  <si>
    <t>SOLICITA SE LE DE ATENCIÓN AL C. ERNESTO SOTO CASTAÑEDA, QUIEN SOLICITA APOYO PARA LA REPARACIÓN DE LAS LAMPARAS DE SU COMUNIDAD ASÍ COMO POSTES EN MAL ESTADO.</t>
  </si>
  <si>
    <t>SOLICITA ATENDER A LA C. ELIDA MARTÍNEZ HERNÁNDEZ, QUIEN SOLICITA APOYO CON EL SERVICIO DE LUZ EN LA COLONIA HUMBERTA.</t>
  </si>
  <si>
    <t xml:space="preserve">ATENDER AL C. ERNESTO SOTO CASTAÑEDA, QUIEN SOLICITA APOYO CON LA COLOCACIÓN DE ALUMBRADO PÚBLICO EN SU LOCALIDAD </t>
  </si>
  <si>
    <t xml:space="preserve">AEEH-2*1S/07-2026 
DOCUMENTOS PARA CONOCIMIENTO </t>
  </si>
  <si>
    <t xml:space="preserve">COL. CENTRO </t>
  </si>
  <si>
    <t>771 718 8904</t>
  </si>
  <si>
    <t>abel.ceron@hidalgo.gob.mx
ihdm@hidalgo.gob.mx</t>
  </si>
  <si>
    <t>SDPEE/DGAP/602/2026
SEDECO /CGI/TI/0203/2026</t>
  </si>
  <si>
    <t>ATENDER A LA C. BERTHA MORALES QUIEN SOLICITA APOYO CON LA COLOCACIÓN DE ALUMBRADO PÚBLICO, DEBIDO A LOS DAÑOS OCASIONADOS POR LAS OBRAS DE CONSTRUCCIÓN EN LA AUTOPISTA REAL DEL MONTE - CRUCERO DE HUASCA</t>
  </si>
  <si>
    <t xml:space="preserve">RINCON CHICO </t>
  </si>
  <si>
    <t>174</t>
  </si>
  <si>
    <t>AMS-072-2026</t>
  </si>
  <si>
    <t xml:space="preserve">RESPUESTA A OFICIO AEEH/DG/427/2025, DONDE "PRODUCTORES DE SAN ISIDRO BOXAXNI" SOLICITA CONCILIAR ADEUDO EN SERVICIO DE BOMBEO DE RIEGO AGRICOLA </t>
  </si>
  <si>
    <t>163</t>
  </si>
  <si>
    <t>AMS-068-2026</t>
  </si>
  <si>
    <t xml:space="preserve">RESPUESTA A OFICIO AEEH/DG/520/2025, PARA INFORMAR SOBRE LOS PROGRAMAS DE AMPLIACIÓN DE REDES ELÉCTRICAS Y SISTEMAS FOTOVOLTAICOS EN LA ZONA TULA </t>
  </si>
  <si>
    <t xml:space="preserve">OFICIO DE REFERENCIA, ENVIADO EN 2025 A CFE ZONA DE DISTRIBUCIÓN TULA </t>
  </si>
  <si>
    <t>164</t>
  </si>
  <si>
    <t>AMS-070-2026</t>
  </si>
  <si>
    <t>RESPUESTA A OFICIO AEEH/DG/664/2025, PARA INFORMAR SOBRE LA REUBICACIÓN DE CONDUCTORES ARRIBA DE UNA VIVIENDA EN LA LOCALIDAD DEL TOXTHE</t>
  </si>
  <si>
    <t>165</t>
  </si>
  <si>
    <t>AMS-071-2026</t>
  </si>
  <si>
    <t xml:space="preserve">GESTIÓN 2025
</t>
  </si>
  <si>
    <t xml:space="preserve">RESPUESTA A OFICIO AEEH/DG/543/2025, SE ENVIA EL PRESUPUESTO PARA INTEGRAR AL FSUE LA ELECTRIFICACIÓN DE LA LOCALIDAD DE SAN SEBASTIAN TEZONTEPEC DE ALDAMA </t>
  </si>
  <si>
    <t>166</t>
  </si>
  <si>
    <t>TELECOM/CT/070/2026</t>
  </si>
  <si>
    <t xml:space="preserve">SOLICITUDES DE CONECTIVIDAD (TELEFONÍA E INTERNET) A DIVERSAS COMUNIDADES DEL ESTADO DE HIDALGO </t>
  </si>
  <si>
    <t>167</t>
  </si>
  <si>
    <t>DG/DIPI/SLAC/00122/2026</t>
  </si>
  <si>
    <t>SOLICITUDES DE INFRAESTRUCTURA (SUBDIRECCIÓN DE DISTRIBUCIÓN Y CFETELECOM)</t>
  </si>
  <si>
    <t>168</t>
  </si>
  <si>
    <t>AMS/073/2026</t>
  </si>
  <si>
    <t>RESPUESTA  A OFICIO AEEH/DG/560/2025, INFORMAN DE MEJORAS A LA RED EN COMUNIDAD DE TEPETITLÁN</t>
  </si>
  <si>
    <t>173</t>
  </si>
  <si>
    <t>SEDECO/CGI/TI/0220/2026
SDPEE/DGAP/686/2026</t>
  </si>
  <si>
    <t xml:space="preserve">ATENDER AL C. HÉCTOR MANUEL MENESES PADILLA, QUIEN SOLICITA APOYO CON INTERVENCIÓN ANTE PRESUNTO COBRRO DE UN SERVICIO DE CFE EL CUAL NO HIZO USO </t>
  </si>
  <si>
    <t>JAGUEY DE TELLEZ</t>
  </si>
  <si>
    <t>771 206 3154</t>
  </si>
  <si>
    <t>172</t>
  </si>
  <si>
    <t>SEDECO/CGI/TI/0219/2026
SDPEE/DGAP/659/2026</t>
  </si>
  <si>
    <t>ATENDER AL C. MARTIN LUGO PÉREZ QUIEN SOLICITA APOYO CON LA AMPLIACIÓN DE LA RED ELÉCTRICA EN EL EJIDO "PALMILLAS".</t>
  </si>
  <si>
    <t>EJIDO PALMILLAS</t>
  </si>
  <si>
    <t>SEDECO /CGI/TI/0190/2026
SDPEE/DGAP/538/2026</t>
  </si>
  <si>
    <t xml:space="preserve">SAN JOSÉ ZOQUITAL </t>
  </si>
  <si>
    <t>SEDECO /CGI/TI/0191/2026
SDPEE/DGAP/539/2026</t>
  </si>
  <si>
    <t>SEDECO /CGI/TI/0192/2026
SDPEE/DGAP/540/2026</t>
  </si>
  <si>
    <t xml:space="preserve">EL NOVILLERO </t>
  </si>
  <si>
    <t>SEDECO /CGI/TI/0194/2026
SDPEE/DGAP/555/2026</t>
  </si>
  <si>
    <t>BARRIO DEL ESPEJO</t>
  </si>
  <si>
    <t xml:space="preserve">BARRIO DEL AVIADERO </t>
  </si>
  <si>
    <t>186</t>
  </si>
  <si>
    <t>182</t>
  </si>
  <si>
    <t>CFEE.-015.2026</t>
  </si>
  <si>
    <t>55 3000 1000</t>
  </si>
  <si>
    <t>alicia.gutierrez@conuee.gob.mx</t>
  </si>
  <si>
    <t>LA COMISIÓN NACIONAL PARA EL USO EFICIENTE DE LA ENERGÍA (CONUEE), DA A CONOCER AL PLAN NACIONAL DE CAPACITACIÓN DE EFICIENCIA ENERGÉTICA EN SERVICIOS Y EDIFICIOS PÚBLICOS ESTATALES Y MUNICIPALES.</t>
  </si>
  <si>
    <t>ATENDER A LA C. ÁNGELA HERNÁNDEZ GARAY QUIEN SOLICITA APOYO PARA LA ADQUISICIÓN Y COLOCACIÓN DE UN POSTE DE ENERGÍA ELÉCTRICA</t>
  </si>
  <si>
    <t xml:space="preserve">LA ESCONDIDA </t>
  </si>
  <si>
    <t>771 346 9962</t>
  </si>
  <si>
    <t>SEDECO /CGI/TI/0193/2026
SDPEE/DGAP/547/2026</t>
  </si>
  <si>
    <t xml:space="preserve">HUMBERTA </t>
  </si>
  <si>
    <t>200</t>
  </si>
  <si>
    <t>IHDM/DGI/224/2026</t>
  </si>
  <si>
    <t>INVITACIÓN A UNA REUNIÓN DE TRABAJO EL 13 DE MARZO EN EL INDEMUN PARA ACORDAR ACCIONES QUE CONTRIBUYAN AL FORTALECIMIENTO DE LAS CAPACIDADES MUNICIPALES.</t>
  </si>
  <si>
    <t xml:space="preserve">MEDIO </t>
  </si>
  <si>
    <t>194</t>
  </si>
  <si>
    <t>ATENDER A LA C. ROSA ICELA GODINEZ CARMONA, QUIEN SOLICITA APOYO PARA LA ADQUISICIÓN DE UN SISTEMA  DE FOTOCELDA PARA EL PREESCOLAR COMUNITARIO MONTESSORI</t>
  </si>
  <si>
    <t>197</t>
  </si>
  <si>
    <t>ATENDER AL C. FERMIN CISNEROS CISNEROS, QUIEN SOLICITA MEDIACIÓN CON AYUNTAMIENTO PARA QUE OTORGUE PERMISOS PARA CONCLUIR LA AMPLIACIÓN DE LA RED ELECTRICA DE SU LOCALIDAD.</t>
  </si>
  <si>
    <t>198</t>
  </si>
  <si>
    <t>SEDECO/CGI/TI/0251/2026
SDPEE/DGAP/782/2026</t>
  </si>
  <si>
    <t xml:space="preserve">ATENDER A LA C. FÉLIX SÁNCHEZ LICONA, QUIEN SOLICITA APOYO CON LA INSTALACIÓN DE ALUMBRADO PÚBLICO EN CAMINO DE SU LOCALIDAD </t>
  </si>
  <si>
    <t xml:space="preserve">EL PLAN TAPANCOS </t>
  </si>
  <si>
    <t>Pezmatlan</t>
  </si>
  <si>
    <t>202</t>
  </si>
  <si>
    <t>SEDECO/CGI/TI/0256/2026
SDPEE/DGAP/846/2026</t>
  </si>
  <si>
    <t xml:space="preserve">ATENDER A LA C. MARÍA FELIX ESPAÑA ROMERO, QUIEN SOLICITA APOYO CON LA INSTALACIÓN DE RED ELECTRICA PARA SU DOMICILIO  </t>
  </si>
  <si>
    <t xml:space="preserve">EJIDO LOMA ANCHA </t>
  </si>
  <si>
    <t>203</t>
  </si>
  <si>
    <t>ATENDER AL C. DANIEL ORTÍZ VÁZQUEZ, QUIEN SOLICITA APOYO PARA EL REEMPLAZO DE LUMINARIAS DE ALUMBRADO PÚBLICO EN SU COMUNIDAD</t>
  </si>
  <si>
    <t xml:space="preserve">SEDECO/CGI/TI/0232/2026
SDPEE/DGAP/745/2026
</t>
  </si>
  <si>
    <t>204</t>
  </si>
  <si>
    <t>SEDECO/CGI/TI/0268/2026
SDPEE/DGAP/893/2026</t>
  </si>
  <si>
    <t>ATENDER A FERNADO DEL RAZO OMAÑA, QUIEN SOLICITA APOYO CON LA AMPLIACIÓN DE LA RED ELECTRICA Y ALUMBRADO PÚBLICO EN SU LOCALIDAD.</t>
  </si>
  <si>
    <t>208</t>
  </si>
  <si>
    <t>SEDECO/CGI/TI/0276/2026</t>
  </si>
  <si>
    <t>224</t>
  </si>
  <si>
    <t>SEDECO/CGI/TI/0282/2026
SDPEE/DGAP/993/2026</t>
  </si>
  <si>
    <t>ATENDER AL DELEGADO LEOPOLDO DÍAZ BERISTAIN, QUIEN SOLICITA REALIZAR LA MODERNICACÍON Y AMPLIACIÓN DE LA RED DE ALUMBRADO PÚBLICO DE SU COMUNIDAD</t>
  </si>
  <si>
    <t>LÁZARO CARDENAS</t>
  </si>
  <si>
    <t xml:space="preserve">ASISTE ING SANDY Y ARQ. ORLANDO, SE ELABORA REPORTE DE ACTIVIDADES </t>
  </si>
  <si>
    <t>SAN PEDRO HUATENGO</t>
  </si>
  <si>
    <t>225</t>
  </si>
  <si>
    <t>SEDECO/CGI/TI/0297/2026
SDPEE/DGAP/1048/2026</t>
  </si>
  <si>
    <t>OJO DE AGUA</t>
  </si>
  <si>
    <t>226</t>
  </si>
  <si>
    <t>SEDECO/CGI/TI/0299/2026
SDPEE/DGAP/1066/2026</t>
  </si>
  <si>
    <t xml:space="preserve">ATENDER AL C. FRANCISCO SIERRA HERNÁNDEZ, QUIEN SOLICITA APOYO CON EL SERVICIO DE ELECTRIFICACIÓN </t>
  </si>
  <si>
    <t>227</t>
  </si>
  <si>
    <t xml:space="preserve">SEDECO/SIyES/DGES/031/2026
</t>
  </si>
  <si>
    <t>LA SUBSECRETARIA DE INVERSIONES Y ECONOMIA SECTORIAL SOLICITA LAS COORDENADAS GEOGRAFICAS DE POLIGONOS IDENTIFICADOS PARA EL DERARROLLO DE PROYECTOS U OBRAS PROPUESTAS POR SEDECO (POELP MINERAL DE LA REFORMA)</t>
  </si>
  <si>
    <t>192</t>
  </si>
  <si>
    <t xml:space="preserve">AEEH-2*1S.3/05-2025
PROYECTOS ENERGETICOS- DHAMMA ENERGY </t>
  </si>
  <si>
    <t>CGDI/DPC/2026/OF/045</t>
  </si>
  <si>
    <t xml:space="preserve">LA COORDINACIÓN GENERAL DE DERECHOS INDIGENAS SOLICITA INFORMACIÓN DE LOS PROYECTOS DE PARQUES FOTOVOLTAICOS "SATURNO SOLAR", AKUWA SOLAR", "DELFIN SOLAR" PROMOVIDOS POR LA EMPRESA DHAMMA ENERGY MEXICO </t>
  </si>
  <si>
    <t>SE DA RESPUESTA CON OFICIO SEDECO/0321/2026, DE FECHA 12/03/2026, ENVIADO AL LIC. ADELFO REGINO MONTES</t>
  </si>
  <si>
    <t>233</t>
  </si>
  <si>
    <t>SEDECO/CGI/TI/0307/2026
SDPEE/DGAP/1139/2026</t>
  </si>
  <si>
    <t>TECOJOTAL</t>
  </si>
  <si>
    <t>ATENDER A JUAN CARLOS VITE GUERRERO, QUIEN SOLICITA LA DONACIÓN DE 15 LAMPARAS DE ALUMBRADO PUBLICO.</t>
  </si>
  <si>
    <t>234</t>
  </si>
  <si>
    <t>SEDECO/CGI/TI/0308/2026
SDPEE/DGAP/1145/2026</t>
  </si>
  <si>
    <t xml:space="preserve">GRANJAS DE GUADALUPE </t>
  </si>
  <si>
    <t xml:space="preserve">ATENDER AL C. JORGE FRANCO ROMERO, QUIEN SOLICITA APOYO PARA ELECTRIFICAR SU COLONIA </t>
  </si>
  <si>
    <t>248</t>
  </si>
  <si>
    <t>IHDM/DG/255/2026</t>
  </si>
  <si>
    <t>PLAN DE ACCIÓN RESPECTO AL MODULO 5 DE NOMBRE "MEDIO AMBIENTE", "CAMBIO CLIMATICO", "SERVICIOS PUBLICOS SUSTENTABLES DE LA GUIA CONSULTIVA DE DESEMPEÑO MUNICIPAL"</t>
  </si>
  <si>
    <t>249</t>
  </si>
  <si>
    <t xml:space="preserve">LA SECRETARIA DE ENERGÍA, CONVOCA A LOS MUNICIPIOS INTERESADOS EN LELVAR A CABO ACCIONES DE EFICIENCIA ENERGETICA EN SU ALUMBRADO PUBLICO </t>
  </si>
  <si>
    <t xml:space="preserve">SE ENVIA A LOS 84 MUNICIPIOS LA CIRCULAR AEEH/DG/003/2026, INVITANDOLOS A PARTICIPAR EN DICHA CONVOCATORIA </t>
  </si>
  <si>
    <t>SE AGENDÓ CADA UNA DE LAS ACTIVIDADES PARA SU PRONTA ATENCIÓN Y SE ENVIA EL OFICIO AEEH/DG/188/2026, A TODAS LAS DEPENDENCIAS DE GOBIERNO.</t>
  </si>
  <si>
    <t>243</t>
  </si>
  <si>
    <t>SEMANATH/DESP/SSyCC/DGCC-000178-2026</t>
  </si>
  <si>
    <t>INVITACIÓN PARA PARTICIPAR EN EL TALLER DE DESARROLLO DE CAPACIDADES PARA LA IMPLEMENTACIÓN DE LA POLITICA CLIMATICA EN EL ESTADO DE HIDALGO.</t>
  </si>
  <si>
    <t>251</t>
  </si>
  <si>
    <t>SEDECO/CAYP/0366/2026</t>
  </si>
  <si>
    <t xml:space="preserve">SOLICITUD DE INFORMACIÓN PARA EL PROYECTO DE LA REUBICACIÓN DE LAS OFICINAS DE LA SECRETARÍA DE DESARROLLO ECONOMICO Y ORGANISMOS DESCENTRALIZADOS </t>
  </si>
  <si>
    <t>253</t>
  </si>
  <si>
    <t>TLAMIMILOLPA</t>
  </si>
  <si>
    <t xml:space="preserve">ATENDER A LA C. MARIA FELIX GALICIA CHILINO, QUIEN SOLICITA APOYO PARA ACCEDER AL SERVICIO DE ENERGIA ELECTRICA EN SU DOMICILIO </t>
  </si>
  <si>
    <t>SEDECO/CGI/TI/0317/2026
SDPEE/DGAP/1203/2026</t>
  </si>
  <si>
    <t>254</t>
  </si>
  <si>
    <t>SEDECO/CGI/TI/0318/2026
SDPEE/DGAP/1214/2026</t>
  </si>
  <si>
    <t>COL. PROGRESISTA 2000</t>
  </si>
  <si>
    <t>ATENDER AL C. ANTONIO PASCAL MORALES, QUIEN SOLICITA APOYO PARA QUE PUEDAN SER BENEFICIARIOS CON EL SERVICIO DE ELECTRIFICACIÓN</t>
  </si>
  <si>
    <t>255</t>
  </si>
  <si>
    <t>SEDECO/CGI/TI/0319/2026
SDPEE/DGAP/1274/2026</t>
  </si>
  <si>
    <t>ATENDER A LA C. YAZMIN CARIDAD PEÑA GUZMÁN, QUIEN SOLICITA APOYO PARA REUBICAR UN POSTE Y UN TRANSFORMADOR DENTRO DE LA ESCUELA PRIMARIA "VICENTE GUERRERO"</t>
  </si>
  <si>
    <t>256</t>
  </si>
  <si>
    <t xml:space="preserve">LA OLLA </t>
  </si>
  <si>
    <t>SEDECO/CGI/TI/0325/2026
SDPEE/DGAP/1317/2026</t>
  </si>
  <si>
    <t>ATENDER AL C. JOEL SANCHEZ SANTOS, QUIEN SOLICITA APOYO PARA QUE PUEDA CONTAR CON SERVICIO DE ENERGIA ELÉCTRICA EN SU LOCALIDAD</t>
  </si>
  <si>
    <t>257</t>
  </si>
  <si>
    <t>SEDECO/CGI/TI/0347/2026
SDPEE/DGAP/1403/2026</t>
  </si>
  <si>
    <t>ATENDER AL C. FEDERICO ALFREDO CAZAREZ LOPEZ, QUIEN SOLICITA APOYO PARA REUBICAR UN POSTE DE ENERGIA ELECTRICA QUE SE ENCUENTRA EN SU PROPIEDAD.</t>
  </si>
  <si>
    <t>258</t>
  </si>
  <si>
    <t>259</t>
  </si>
  <si>
    <t>SEDECO/CGI/TI/0349/2026
SDPEE/DGAP/1394/2026</t>
  </si>
  <si>
    <t xml:space="preserve">ATENDER A LA C. MA. EUGENIA MONROY LOPEZ, QUIEN SOLICITA APOYO PARA QUE SU VIVIENDA CUENTE CON SERVICIO DE ENERGIA ELECTRICA </t>
  </si>
  <si>
    <t>SEDECO/CGI/TI/0353/2026
SDPEE/DGAP/1414/2026</t>
  </si>
  <si>
    <t>ATENDER A LA C. JULIA CALZADA, QUIEN SOLICITA LA COLOCACIÓN DE LUMINARIAS EN LA AVENIDA PRINCIPAL DE SU LOCALIDAD</t>
  </si>
  <si>
    <t>AEEH-2*1S.4/01-2026 PROMOCIONES TÉCNICAS EN MATERIA ENERGÉTICA (POELP)</t>
  </si>
  <si>
    <t xml:space="preserve">AEEH-2*1S.4/07-2026
PROGRAMA ESTATAL DE ACCIÓN ANTE EL CAMBIO CLIMATICO DE HIDALGO / COMISIÓN ESTATAL INTERSECTORIAL DEL CAMBIO CLIMATICO </t>
  </si>
  <si>
    <t>ARQ. DIEGO ASISTE AL TALLER, SE ELABORA TARJETA INFORMATIVA</t>
  </si>
  <si>
    <t>771 107 1304</t>
  </si>
  <si>
    <t>AEEH-2*1S.1/17-2025
ASESORIAS EN MATERIA DE TELECOMUNICACIONES (VARIOS MUNICIPIOS)</t>
  </si>
  <si>
    <t xml:space="preserve">AEEH-2*1S.4/08-2026
SUBCOMITÉ SECTORIAL DE MEDIO AMBIENTE Y RECURSOS NATURALES </t>
  </si>
  <si>
    <t xml:space="preserve">ARQ. ORLANDO SE CONECTA A LA REUNIÓN </t>
  </si>
  <si>
    <t>771 688 6029</t>
  </si>
  <si>
    <t>AEEH-2*1S.3/03-2026
CONUE</t>
  </si>
  <si>
    <t xml:space="preserve">55 30001000 </t>
  </si>
  <si>
    <t>AEEH-2*1S.1/02-2026
GESTIONES  A CFE</t>
  </si>
  <si>
    <t>789 893 3073 Ext. 28410</t>
  </si>
  <si>
    <t>hugo.abundis@cfe.mx</t>
  </si>
  <si>
    <t>771 7006476</t>
  </si>
  <si>
    <t>arlenemm@hidalgo.gob.mx</t>
  </si>
  <si>
    <t>SEDECO/CGI/TI/0233/2026
SDPEE/DGAP/756/026</t>
  </si>
  <si>
    <t>265</t>
  </si>
  <si>
    <t>CEDSPI/DGAPI/082/2026</t>
  </si>
  <si>
    <t>INFORMAR EL ESTAUS DEL OFICIO CEDSPI/DC/428/2025, DONDE EL COMISIONADO ESTATAL PARA EL DESARROLLO SOSTENIBLE DE LOS PUEBLOS INDIGENAS, SOLICITA DATOS PARA EJECUTAR RECURSOS EN "TRANSICION ENERGETICA" DEL FOTEASE</t>
  </si>
  <si>
    <t>268</t>
  </si>
  <si>
    <t>SEDECO/CGI/TI/0365/2026
SDPEE/DGAP/1511/2026</t>
  </si>
  <si>
    <t>ATENDER A LUCILA ISLAS GUTIERREZ, CON LA OBRA "AMPLIACIÓN DE RED DE LUZ ELECTRICA"</t>
  </si>
  <si>
    <t xml:space="preserve">COL. SAN RAFAEL </t>
  </si>
  <si>
    <t>269</t>
  </si>
  <si>
    <t>SEDECO/CGI/TI/0366/2026
SDPEE/DGAP/1512/2026</t>
  </si>
  <si>
    <t>270</t>
  </si>
  <si>
    <t>SEDECO/CGI/TI/0367/2026
SDPEE/DGAP/1532/2026</t>
  </si>
  <si>
    <t>SAN JUAN TEPEMAZALCO</t>
  </si>
  <si>
    <t>ATENDER A JORGE ANTONIO CRAVIOTO BAUTISTA, QUIEN SOLICITA LA COLOCACIÓN DE 5 POSTES PARA LA AMPLIACIÓN DE LUZ EN SU COLONIA.</t>
  </si>
  <si>
    <t>271</t>
  </si>
  <si>
    <t>SEDECO/CGI/TI/0368/2026
SDPEE/DGAP/1568/2026</t>
  </si>
  <si>
    <t xml:space="preserve">TEPEYAHUALCO </t>
  </si>
  <si>
    <t xml:space="preserve">ATENDER A MARIA DE JESUS DE LUCIO IBARRA, QUIEN SOLICITA LA COLOCACIÓN DE 2 POSTES DE LUZ PARA LA AMPLIACIÓN DE ENERGIA ELECTRICA EN SU COMUNIDAD </t>
  </si>
  <si>
    <t>272</t>
  </si>
  <si>
    <t>SEDECO/CGI/TI/0369/2026
SDPEE/DGAP/1605/2026</t>
  </si>
  <si>
    <t xml:space="preserve">SAN JUAN TIZAHUAPAN </t>
  </si>
  <si>
    <t xml:space="preserve">ATENDER A ERNESTO VÁZQUEZ GÓMEZ, QUIEN SOLICITA LA ELECTRIFICACIÓN DE DIVERSAS CALLES DE SU LOCALIDAD </t>
  </si>
  <si>
    <t>273</t>
  </si>
  <si>
    <t>274</t>
  </si>
  <si>
    <t>SEDECO/CGI/TI/0375/2026
SDPEE/DGAP/1629/2026</t>
  </si>
  <si>
    <t>SAN AGUSTIN ZAPOTLAN</t>
  </si>
  <si>
    <t>ATENDER A GERMAN PEREZ BAUTISTA, QUIEN SOLICITA LA INTERVENCIÓN ANTE CFE PARA LA OBRA DE AMPLICIACIÓN DE RED ELECTRICA.</t>
  </si>
  <si>
    <t>SEDECO/CGI/TI/0370/2026
SDPEE/DGAP/1623/2026</t>
  </si>
  <si>
    <t xml:space="preserve">SANTA MONICA </t>
  </si>
  <si>
    <t>ATENDER A MAURICIO TELLEZ HERNÁNDEZ, QUIEN SOLICITA LA AMPLIACIÓN DE RED ELECTRICA PARA LAS CALLES CHABACANO Y PERA.</t>
  </si>
  <si>
    <t>280</t>
  </si>
  <si>
    <t>SEMARNATH/DESP/SSyCC/DGCC/0001881/2026</t>
  </si>
  <si>
    <t xml:space="preserve">INVITACIÓN A LA ENTREGA DE PROPUESTA DE LEY DE ECONOMIA CIRCULAR DEL ESTADO DE HIDALGO, EL 31 DE MARZO A LAS 11:00 EN LAS INSTALACIONES DE SEMARNATH </t>
  </si>
  <si>
    <t>297</t>
  </si>
  <si>
    <t>VAH-029-2026</t>
  </si>
  <si>
    <t xml:space="preserve">SUPERINTENDENCIA ZONA PACHUCA CFE, DA RESPUESTA LA OFICIO AEEH/DG/231/2026, INFORMANDO EL ADEUDO DEL C. HECTOR MANUEL MENESES PADILLA </t>
  </si>
  <si>
    <t>285</t>
  </si>
  <si>
    <t>SEDECO/CGI/TI/0402/2026
SDPEE/DGAP/1674/2026</t>
  </si>
  <si>
    <t xml:space="preserve">TECHIMAL </t>
  </si>
  <si>
    <t>ATENDER A LA C. ANDREA GONZALEZ HERNÁNDEZ, QUIEN SOLICITA MANGUERA NEUTRAL O AISLAR PARA PONERLE A LAS LINEAS DEL POSTE DE LUZ QUE ATRAVIESA LA AZOTEA DE SU CASA.</t>
  </si>
  <si>
    <t>286</t>
  </si>
  <si>
    <t>SEDECO/CGI/TI/0403/2026
SDPEE/DGAP/1773/2026</t>
  </si>
  <si>
    <t>COL. LA PRESA</t>
  </si>
  <si>
    <t>287</t>
  </si>
  <si>
    <t>SEDECO/CGI/TI/0404/2026
SDPEE/DGAP/1808/2026</t>
  </si>
  <si>
    <t>ZOZEA</t>
  </si>
  <si>
    <t>ATENDER A LA DELEGADA DALILA MARIO LOPEZ, QUIEN SOLICITA LA AMPLIACIÓN DE RED ELECTRICA Y LA REUBICACIÓN DE POSTES</t>
  </si>
  <si>
    <t>288</t>
  </si>
  <si>
    <t>SEDECO/CGI/TI/0405/2026
SDPEE/DGAP/1818/2026</t>
  </si>
  <si>
    <t>CANDHO</t>
  </si>
  <si>
    <t xml:space="preserve">ATENDER A OMAR RAMIREZ SAN JUAN, QUIEN SOLICITA ELECTRIFICACIÓN EN CAMINO RURAL DE SU LOCALIDAD </t>
  </si>
  <si>
    <t>289</t>
  </si>
  <si>
    <t>SEDECO/CGI/TI/0406/2026
SDPEE/DGAP/1823/2026</t>
  </si>
  <si>
    <t>XOTHE</t>
  </si>
  <si>
    <t>ATENDER AL DELEGADO VICENTE CALLEJAS ZAMUDIO, QUIEN SOLICITA EL MEJORAMIENTO DE LA RED DE ENERGIA YA QUE EL VOLTAJE NO ES SUFICIENTE.</t>
  </si>
  <si>
    <t>290</t>
  </si>
  <si>
    <t>SEDECO/CGI/TI/0407/2026
SDPEE/DGAP/1806/2026</t>
  </si>
  <si>
    <t>ATENDER A ARTURO OLGUIN NICOLAS, QUIEN SOLICITA 20 LAMPARAS PARA LA CALLE MORELOS.</t>
  </si>
  <si>
    <t>291</t>
  </si>
  <si>
    <t>SEDECO/CGI/TI/0408/2026
SDPEE/DGAP/1816/2026</t>
  </si>
  <si>
    <t>BOXTHÓ</t>
  </si>
  <si>
    <t>296</t>
  </si>
  <si>
    <t>SEDECO/CGI/TI/0419/2026
SDPEE/DGAP/1922/2026</t>
  </si>
  <si>
    <t>EL JOVIÓN</t>
  </si>
  <si>
    <t xml:space="preserve">AEEH-2*1S/08-2026
SOLICITUDES DE LA DIRECCIÓN DE ATENCIÓN AL PUEBLO  </t>
  </si>
  <si>
    <t>octavio.gomez@hidalgo.gob.mx</t>
  </si>
  <si>
    <t>771 715 6672</t>
  </si>
  <si>
    <t>dependencias.coemere@hidalgo.gob.mx</t>
  </si>
  <si>
    <t>AEEH-2*1S.1/01-2026
ASESORIAS EN MATERIA ENERGÉTICA (VARIOS MUNICIPIOS)</t>
  </si>
  <si>
    <t>anamaco_10yahoo.com.mx</t>
  </si>
  <si>
    <t xml:space="preserve">AEEH-2*1S.4/02-2023
PROPUESTA DE PROYECTO ELECTROLINERAS EN EL ESTADO DE HIDALGO </t>
  </si>
  <si>
    <t xml:space="preserve">DE CONOCIMIENTO, SE ARCHIVA PARA CONSULTA INTERNA </t>
  </si>
  <si>
    <t>771 717 6000 Ext. 2409</t>
  </si>
  <si>
    <t>velascovite1974@gmail.com</t>
  </si>
  <si>
    <t>EL 03 DE FEBRERO, SE ENVIÓ UN 1ER. CORREO ELECTRONICO A LA CIUDADANA PARA SOLICITAR INFORMACIÓN TÉCNICA. 
EL 05 DE FEBRERO, SE ENVIÓ UN 2DO. CORREO ELECTRONICO A LA CIUDADANA PARA SOLICITAR INFORMACIÓN TÉCNICA. 
EL 13 DE FEBRERO, SE ENVIÓ UN 3ER. CORREO ELECTRONICO A LA CIUDADANA PARA SOLICITAR INFORMACIÓN TÉCNICA. 
NINGUNO DE LOS 3 CORREOS FUE ATENDIDO
CERRADA</t>
  </si>
  <si>
    <t xml:space="preserve">AEEH-2*1S.5/01-2026
ENERGIA REGIONAL </t>
  </si>
  <si>
    <t>ENERGIA REGIONAL SOLICITA AUDIENCIA PARA PRESENTAR LA PROPUESTA "ESTUDIO TÉCNICO JUSTIFICATIVO PARA LA INSCRIPCIÓN DE PROYECTOS DE ELECTRICIDAD EN LA PLANEACIÓN VINCULANTE"</t>
  </si>
  <si>
    <t>miguel.horta@eregional.com.mx</t>
  </si>
  <si>
    <t>771 714 1056</t>
  </si>
  <si>
    <t>SE ELABORÓ UNA TARJETA INFORMATIVA DE FECHA 16/02/2026 SOBRE LA CONSULTA PÚBLICA DE LOS POEL. POEL - SEMARNATH</t>
  </si>
  <si>
    <t>AEEH-2*1S.4/03-2026
GRUPO DE TRABAJO "PROYECTOS AMBIENTALES EN ZONAS VULNERABLES ENTE EL CAMBIO CLIMATICO"</t>
  </si>
  <si>
    <t>771 130 9078</t>
  </si>
  <si>
    <t>ecologia.2024.huazalingo@gmail.com</t>
  </si>
  <si>
    <t>AEEH-2*1S.4/04-2026
GRUPO DE TRABAJO PARA DIAGNOSTICO HIDRICO  Y ATENCIÓN REGIONAL POR ACUIFERO Y SUBCUENTAS</t>
  </si>
  <si>
    <t>TLANALAPA</t>
  </si>
  <si>
    <t>davidramval7@gmail.com</t>
  </si>
  <si>
    <t xml:space="preserve">NO SE ASISTE A LA EXPO </t>
  </si>
  <si>
    <t>villegascervantes120973@gmail.com</t>
  </si>
  <si>
    <t>jorgedana178@gmail.com</t>
  </si>
  <si>
    <t xml:space="preserve">AEEH-2*1S.1/12-2025
ASESORIA - PARQUE INDUSTRIAL TEPEJI DEL RIO </t>
  </si>
  <si>
    <t>eripaty73@hotmail.com</t>
  </si>
  <si>
    <t>AEEH-2*1S.3/05-2026
INSTITUTO HIDALGUENSE PARA EL DESARROLLO MUNICIPAL</t>
  </si>
  <si>
    <t xml:space="preserve">AEEH-2*1S/05-2026 
SOLICITUDES DE PRACTICAS, SERVICIO SOCIAL Y RESIDENCIA </t>
  </si>
  <si>
    <t>771 717 6000 Ext. 6283</t>
  </si>
  <si>
    <t xml:space="preserve">AEEH-2*1S.1/01-2025 </t>
  </si>
  <si>
    <t xml:space="preserve">AEEH-2*1S.1/01 III-2025 </t>
  </si>
  <si>
    <t>gutierrezolguinm@gmail.com</t>
  </si>
  <si>
    <t>barriodelaviadero2025@gmail.com</t>
  </si>
  <si>
    <t xml:space="preserve">AEEH-2*1S.1/06-2026
SISTEMA DE BOMBEO EN LA COL. VERACRUZ, MIXQUIAHUALA
</t>
  </si>
  <si>
    <t>COL. VERACRUZ</t>
  </si>
  <si>
    <t>773 73 29551 EXT. 22104</t>
  </si>
  <si>
    <t xml:space="preserve">AEEH-2*1S.1/01 IV-2025 </t>
  </si>
  <si>
    <t>LA LOMA</t>
  </si>
  <si>
    <t>SEDECO/CGI/TI/0250/2026
SDPEE/DGAP/708/026</t>
  </si>
  <si>
    <t>fermincisneros272@gmail.com</t>
  </si>
  <si>
    <t>fey.sanchez036@gmail.com</t>
  </si>
  <si>
    <t xml:space="preserve">SEDECO/CGI/TI/0268/2026
</t>
  </si>
  <si>
    <t>presidencia@metepechidalgo.gob.mx</t>
  </si>
  <si>
    <t>27fernando.71@gmail.com</t>
  </si>
  <si>
    <t xml:space="preserve">ATENDER A LA C. TANIA SULEMA CALVA HERRERA, QUIEN SOLICITA LA AMPLIACION DE RED ELECTRICA EN SU COMUNIDAD </t>
  </si>
  <si>
    <t>viteguerrerojuancarlos@gmail.com</t>
  </si>
  <si>
    <t>smarikarla@yahoo.com.mx</t>
  </si>
  <si>
    <t>CITLALLI.CAZARESDEJESUS@GMAIL.COM</t>
  </si>
  <si>
    <t>SAHAGUN</t>
  </si>
  <si>
    <t xml:space="preserve">ARQ. ORLANDO, ASISTE A AL REUNIÓN.
SE ELABORA REPORTE DE ACTIVIDADES </t>
  </si>
  <si>
    <t>AEEH-2*1S.3/06-2026
PROYECTO DE OFICINAS DE LA AEEH</t>
  </si>
  <si>
    <t>Etiquetas de columna</t>
  </si>
  <si>
    <t>Cuenta de No. DE TURNO</t>
  </si>
  <si>
    <t>OTRAS INSTANCIAS</t>
  </si>
  <si>
    <t>ATENCIÓN AL PUEBLO</t>
  </si>
  <si>
    <t xml:space="preserve">ÁREA GENERADORA </t>
  </si>
  <si>
    <t>771 473 7073</t>
  </si>
  <si>
    <t>303</t>
  </si>
  <si>
    <t>SEDECO/CGI/TI/0428/2026
SDPEE/DGAP/2052/2026</t>
  </si>
  <si>
    <t>SAN ANTONIO</t>
  </si>
  <si>
    <t>313</t>
  </si>
  <si>
    <t xml:space="preserve">ZAMORANO </t>
  </si>
  <si>
    <t>SEDECO/CGI/TI/0444/2026
SDPEE/DGAP/2146/2026</t>
  </si>
  <si>
    <t>314</t>
  </si>
  <si>
    <t>SEDECO/CGI/TI/0445/2026
SDPEE/DGAP/2159/2026</t>
  </si>
  <si>
    <t>315</t>
  </si>
  <si>
    <t>SEDECO/CGI/TI/0449/2026
SDPEE/DGAP/2197/2026</t>
  </si>
  <si>
    <t>JONACOPA</t>
  </si>
  <si>
    <t xml:space="preserve">ATENDER A PEDRO GUERRERO GONZALEZ, QUIEN SOLICITA LA AMPLIACIÓN DE LA RED DE ENERGIA ELECTRICA Y COLOCACIÓN DE 2 TRANSFORMADORES EN SU LOCALIDAD </t>
  </si>
  <si>
    <t>316</t>
  </si>
  <si>
    <t>SEDECO/CGI/TI/0450/2026
SDPEE/DGAP/2191/2026</t>
  </si>
  <si>
    <t>300</t>
  </si>
  <si>
    <t>SEDECO/CGI/TI/0425/2026
SDPEE/DGAP/1971/2026</t>
  </si>
  <si>
    <t>TLAUNILOLPAN</t>
  </si>
  <si>
    <t>ATENDER A CAMILO PIÑA BENITEZ, QUIEN SOLICITA EL MEJORAMIENTO DE ALUMBRADO PUBLICO EN SU LOCALIDAD</t>
  </si>
  <si>
    <t>301</t>
  </si>
  <si>
    <t>SEDECO/CGI/TI/0426/2026
SDPEE/DGAP/2022/2026</t>
  </si>
  <si>
    <t xml:space="preserve">LA ESTANCIA </t>
  </si>
  <si>
    <t xml:space="preserve">ATENDER  CARLOS BENITEZ GUERRERO, QUIEN SOLICITA LA INSTALACIÓN DE ENERGÍA ELECTRICA EN SU DOMICILIO </t>
  </si>
  <si>
    <t>302</t>
  </si>
  <si>
    <t>SEDECO/CGI/TI/0427/2026
SDPEE/DGAP/2019/2026</t>
  </si>
  <si>
    <t>DEXTHA</t>
  </si>
  <si>
    <t>ATENDER A SALVADOR VALENCIA GONZALEZ, QUIEN SOLICITA LA REUBICACIÓN DE UN POSTE DE LUZ</t>
  </si>
  <si>
    <t>307</t>
  </si>
  <si>
    <t>TLAXCALILLA</t>
  </si>
  <si>
    <t xml:space="preserve">ATENDER  A ARMANDO ROMERO DIAZ, QUIEN SOLICITA 3 POSTES PARA LA AMPLIACIÓN DE RED ELECTRICA </t>
  </si>
  <si>
    <t>308</t>
  </si>
  <si>
    <t>SEDECO/CGI/TI/0437/2026
SDPEE/DGAP/2078/2026</t>
  </si>
  <si>
    <t xml:space="preserve">LA ESTACION </t>
  </si>
  <si>
    <t>ATENDER A RICARDO TREJO SALVADOR, QUIEN SOLICITA ALUMBRADO PÚBLICO EN SU LOCALIDAD</t>
  </si>
  <si>
    <t>309</t>
  </si>
  <si>
    <t>310</t>
  </si>
  <si>
    <t>311</t>
  </si>
  <si>
    <t>323</t>
  </si>
  <si>
    <t>326</t>
  </si>
  <si>
    <t>327</t>
  </si>
  <si>
    <t>339</t>
  </si>
  <si>
    <t>SEDECO/CGI/TI/0438/2026
SDPEE/DGAP/2084/2026</t>
  </si>
  <si>
    <t xml:space="preserve">ATENDER A ARMANDO ROMERO DIAZ, QUIEN SOLICITA 10 LAMPARAS DE ALUBRADO PUBLICO EN SU LOCALIDAD </t>
  </si>
  <si>
    <t>SEDECO/CGI/TI/0439/2026
SDPEE/DGAP/2115/2026</t>
  </si>
  <si>
    <t xml:space="preserve">LA CAMPANA </t>
  </si>
  <si>
    <t>SEDECO/CGI/TI/0440/2026
SDPEE/DGAP/2124/2026</t>
  </si>
  <si>
    <t>HUIXCAZAHÁ</t>
  </si>
  <si>
    <t xml:space="preserve">ATENDER A HELIBERTO URIBE CHAVEZ, QUIEN SOLICITA LA INSTALACION DE POSTES Y CABLE EN SU LOCALIDAD </t>
  </si>
  <si>
    <t>CIRCULAR NO. 2</t>
  </si>
  <si>
    <t xml:space="preserve">AEEH-2*1S/07-2026
DOCUMENTOS PARA CONOCIMIENTO </t>
  </si>
  <si>
    <t>LA DIRECCIÓN GENERAL DE COMPRAS PÚBLICAS, INFORMAN LAS ESPECIFICACIONES PARA REALIZAR LAS COTIZACIONES A TRAVES DE SU PAGINA WEB</t>
  </si>
  <si>
    <t>compraspublicas@hidalgo.gob.mx</t>
  </si>
  <si>
    <t>SEDECO/CGI/TI/0458/2026
SDPEE/DGAP/2160/2026</t>
  </si>
  <si>
    <t>XOCHIPATLAN</t>
  </si>
  <si>
    <t>SEDECO/CGI/TI/0467/2026
SDPEE/DGAP/2298/2026</t>
  </si>
  <si>
    <t>ATENDER A PATRICIO ADRIAN PACHECO TORRES, QUIEN SOLICITA LA MEDIACIÓN CON CFE PARA LA INSTALACIÓN DE ALUMBRADO PÚBLICO EN SU LOCALIDAD</t>
  </si>
  <si>
    <t>SEDECO/CGI/TI/04991/2026</t>
  </si>
  <si>
    <t xml:space="preserve">INVITACIÓN AL FORO "PACHUCA CLIMATE 2026 DIA DE LA TIERRA", EL DIA 22 DE ABRIL EN EL TEC DE PACHUCA POR PARTE DEL SECRETARIO DE MEDIO AMBIENTE Y DESARROLLO SUSTENTABLE </t>
  </si>
  <si>
    <t>335</t>
  </si>
  <si>
    <t>336</t>
  </si>
  <si>
    <t>337</t>
  </si>
  <si>
    <t>338</t>
  </si>
  <si>
    <t>elivago@live.com.mx</t>
  </si>
  <si>
    <t>ulises9santiagos@gmail.com</t>
  </si>
  <si>
    <t>SEDECO/CGI/TI/0436/2026
SDPEE/DGAP/2074/2026</t>
  </si>
  <si>
    <t>CFE-DIS/COR/DELEC-0121/2026</t>
  </si>
  <si>
    <t>117.DGISCPOS.1701/2026</t>
  </si>
  <si>
    <t>117.DGISCPOS.1752/2026</t>
  </si>
  <si>
    <t>RESPUESTA A OFICIO SEDECO/0240/2026, LA COMISIÓN ESTATAL DE DESARROLLO SOSTENIBLE PARA PUEBLOS INDIGENAS, SOLICITA PRECISIÓN TÉCNICA DE LOS 3 PROYECTOS A DESARROLLARSE DE LA EMPRESA DHAMMA</t>
  </si>
  <si>
    <t xml:space="preserve"> Clasificación Total de Correspondencia</t>
  </si>
  <si>
    <t xml:space="preserve">Solicitudes Atendidas 
</t>
  </si>
  <si>
    <t xml:space="preserve">Solicitudes en Proceso
</t>
  </si>
  <si>
    <t xml:space="preserve">Solicitudes en Proceso 
</t>
  </si>
  <si>
    <t>(en blanco)</t>
  </si>
  <si>
    <t>Suma de Beneficiarios Indirectos</t>
  </si>
  <si>
    <t>Número de mujeres directas atendidas</t>
  </si>
  <si>
    <t>Número de hombres directos  atendidos</t>
  </si>
  <si>
    <t>Número de mujeres indirectas atendidas</t>
  </si>
  <si>
    <t>Número de hombres indirectos  atendidos</t>
  </si>
  <si>
    <t>Total de Solicitudes por Municipio</t>
  </si>
  <si>
    <t xml:space="preserve">Oficios Ingresados </t>
  </si>
  <si>
    <t xml:space="preserve">Atención al Pueblo </t>
  </si>
  <si>
    <t xml:space="preserve"> Clasificación de Correspondencia turnada por la Dirección de Atención al Pueblo </t>
  </si>
  <si>
    <t>ATENDER A LUCIA ISLAS GUTIERREZ, QUIEN SOLICITA APOYO CON LA INSTALACIÓN DE 10 LAMPARAS DE ALUMBRADO PÚBLICO EN SU COLONIA.</t>
  </si>
  <si>
    <t>352</t>
  </si>
  <si>
    <t>GLO-107-2026</t>
  </si>
  <si>
    <t xml:space="preserve">RESPUESTA A OFICIO AEEH/DG/306/2026, RESPECTO A LA REUBICACIÓN DE POSTES EN LA ESCUELA PRIMARIA VICENTE GUERRERO DE SAN FRANCISCO ATOTONILCO, ACAXOCHITLÁN </t>
  </si>
  <si>
    <t>342</t>
  </si>
  <si>
    <t>GLO-099-2026</t>
  </si>
  <si>
    <t xml:space="preserve">RESPUESTA A OFICIO AEEH/DG/308/2026, RESPECTO AL ESTATUS DE ATENCIÓN A LA C. MA. FÉLIX GALICIA CHILINO </t>
  </si>
  <si>
    <t>347</t>
  </si>
  <si>
    <t>ASEA/DAJ/DGCONS/205/2026</t>
  </si>
  <si>
    <t>MTRA. BLANCA UGALDE RESENDIZ, DIRECTORA GENERAL DE LO CONSULTIVO, DE LA AGENCIA NACIONAL DE SEGUIRIDAD INDUSTRIAL Y MEDIO AMBIENTE DA RESPUETA A OFICIO AEEH/DG/225/2026</t>
  </si>
  <si>
    <t>348</t>
  </si>
  <si>
    <t>TELECOM/CT/0189/2026</t>
  </si>
  <si>
    <t>349</t>
  </si>
  <si>
    <t>VAH-064-2026</t>
  </si>
  <si>
    <t xml:space="preserve">SUPERINTENDENCIA DE CFE ZONA PACHUCA, DA RESPUESTA LA OFICIO AEEH/DG/712/2026, INFORMANDO SOBRE LA SOLICITUD DE LA LOCALIDAD DE VENTA DE GUADALUPE MUNICIPIO DE OMITLAN </t>
  </si>
  <si>
    <t>350</t>
  </si>
  <si>
    <t>VAH-065-2026</t>
  </si>
  <si>
    <t>SUPERINTENDENCIA DE CFE ZONA PACHUCA, DA RESPUESTA LA OFICIO AEEH/DG/323/2026, INFORMANDO SOBRE LA SOLICITUD DE LA LOCALIDAD DE SAN ANTONIO EL DESMONTE, MUNICIPIO DE PACHUCA DE SOTO</t>
  </si>
  <si>
    <t>358</t>
  </si>
  <si>
    <t>SDZDDH/00116/2026</t>
  </si>
  <si>
    <t xml:space="preserve">SUPERINTENDENCIA DE CFE ZONA HUEJUTLA DA RESPUESTA LA OFICIO AEEH/DG/310/2026, INFORMANDO SOBRE LA OBRA DE ELECTRIFICACIÓN DE PEZMATLÁN, DEL MUNICIPIO DE CALNALI  </t>
  </si>
  <si>
    <t>372</t>
  </si>
  <si>
    <t xml:space="preserve">ATENDER AL C. CIRO BALLESTEROS GARCÍA, QUIEN SOLICITA LA REHABILITACIÓN DE LA RED ELECTRICA EN SU COMUNIDAD </t>
  </si>
  <si>
    <t>357</t>
  </si>
  <si>
    <t>STFOTEASE.213.115.2026</t>
  </si>
  <si>
    <t xml:space="preserve">RESPUESTA A OFICIO AEEH/DG/321/2026, LA SECRETARIA TÉCNICA DEL FOTEASE, INVITA A UNA REUNIÓN VIRTUAL PARA ABORDAR TEMAS DE EXPEDIENTES TÉCNICOS DE LOS SITEMAS FOTOVOLTAICOS </t>
  </si>
  <si>
    <t>SEDECO/CGI/TI/0522/2026
SDPEE/DGAP/2544/2026</t>
  </si>
  <si>
    <t xml:space="preserve">ATENDER A HERÓN MARTÍNEZ CABRERA, QUIEN SOLICITA UN INCREMENTO DE VOLTAJE EN LA TELESECUNDARIA NO. 100 DE SU LOCALIDAD </t>
  </si>
  <si>
    <t xml:space="preserve">ACUIMANTLA </t>
  </si>
  <si>
    <t>371</t>
  </si>
  <si>
    <t>SEDECO/CGI/TI/0523/2026
SDPEE/DGAP/2560/2026</t>
  </si>
  <si>
    <t xml:space="preserve">ATENDER A JUVENAL VARGAS MARTÍN, QUIEN SOLICITA LA COLOCACIÓN DE LUMINARIAS PARA LOS CAMINOS PÚLICOS DE SU COMUNIDAD </t>
  </si>
  <si>
    <t>373</t>
  </si>
  <si>
    <t>SEDECO/CGI/TI/0529/2026
SDPEE/DGAP/2672/2026</t>
  </si>
  <si>
    <t xml:space="preserve">ATENDER AL C. MACLOVIO LOZADA GONZALEZ, QUIEN SOLICITA LA INSTALACIÓN DE ENERGÍA ELECTRICA EN SU LOCALIDAD </t>
  </si>
  <si>
    <t xml:space="preserve">COL. LAS AMERICAS </t>
  </si>
  <si>
    <t>374</t>
  </si>
  <si>
    <t>SEDECO/CGI/TI/0530/2026
SDPEE/DGAP/2688/2026</t>
  </si>
  <si>
    <t xml:space="preserve">ATENDER A BRISA FERNANDA ARANGUTIA FLORES, QUIEN SOLICITA INFORMACIÓN RESPECTO AL PROYECTO DEL PARQUE FOTOVOLTAICO EN TERRENOS EJIDALES DE EPAZOYUCAN Y SINGUILUCAN </t>
  </si>
  <si>
    <t>375</t>
  </si>
  <si>
    <t xml:space="preserve">ATENDER A DAVID HERNÁNDEZ HERNÁNDEZ, PARA LA MEDIACIÓN CON CFE PARA LA CORRECIÓN DE DIRECCIONES DE LOS USUARIOS DE SU COMUNIDAD </t>
  </si>
  <si>
    <t xml:space="preserve">LA PEÑA </t>
  </si>
  <si>
    <t>379</t>
  </si>
  <si>
    <t>SEDECO/CGI/TI/0545/2026
SDPEE/DGAP/2753/2026</t>
  </si>
  <si>
    <t>ATENDER A LA C. MARIA DOLORES ÁNGELES SALAS, QUIEN SOLICITA LA REUBICACIÓN DE UN POSTE DE LUZ</t>
  </si>
  <si>
    <t>380</t>
  </si>
  <si>
    <t>DGESE/212/018/2026</t>
  </si>
  <si>
    <t>381</t>
  </si>
  <si>
    <t>117.DGISCPOS.2054/2026</t>
  </si>
  <si>
    <t>376</t>
  </si>
  <si>
    <t>MMHR-245-2026</t>
  </si>
  <si>
    <t>PLANEACIÓN CFE-TULANCINGO, DA RESPUESTA A OFICIO AEEH/DG/347/2026, ENVIA LA RESPUESTA PARA LA AMPLIACIÓN DE RED ELECTRICA EN ZEMPOALA, GESTIÓN DE LA SRA. LUCIA ISLAS GUTIERREZ</t>
  </si>
  <si>
    <t>377</t>
  </si>
  <si>
    <t>MMHR-223-2026</t>
  </si>
  <si>
    <t xml:space="preserve">CFE PLANEACIÓN Y CONSTRUCCIÓN ZONA TULANCINGO, DA RESPUESTA A OFICIO AEEH/DG/307/2026, ENVIA RESPUESTA A LA REUBICACIÓN DE POSTE </t>
  </si>
  <si>
    <t>378</t>
  </si>
  <si>
    <t>GLO-123-2026</t>
  </si>
  <si>
    <t xml:space="preserve">SUPERINTENDENTE DE CFE ZONA DE DISTRIBUCIÓN TULANCINGO, DA RESPUESTA A OFICIO AEEH/DG/307/2026, ENVIA LA RESPUESTA A LA SOLICITUD DE FEDERICO ALFREDO CAZARES LOPEZ </t>
  </si>
  <si>
    <t>384</t>
  </si>
  <si>
    <t>IHDM/DG/473/2026</t>
  </si>
  <si>
    <t xml:space="preserve">EL INSTITUTO HIDALGUENSE PARA EL DESARROLLO MUNICIPAL (INDEMUN), CONVOCA A REUNIÓN DE TRABAJO PARA DEFINIR ACCIONES DE COLABORACIÓN, EL DÍA 14 DE MAYO </t>
  </si>
  <si>
    <t>383</t>
  </si>
  <si>
    <t>117.DGISPCPOS.2056-2026</t>
  </si>
  <si>
    <t>235</t>
  </si>
  <si>
    <t>SEDECO/0321/2026</t>
  </si>
  <si>
    <t xml:space="preserve">SECRETARIO DE SEDECO, ENVIA OFICIO AL INSTITUTO NACIONAL DE LOS PUEBLOS INDIGENAS (INPI), ENVIA LA RESPUESTA AL OFICIO DGPI/DPC/2026/OF/045, ENTREGA DE INFORMACIÓN INDIGENA DE LOS PROYECTOS FOTOVOLTAICOS EN SINGUILUCAN, EPAZOYUCAN Y ZEMPOALA  </t>
  </si>
  <si>
    <t>236</t>
  </si>
  <si>
    <t>SEDECO/0240/2026</t>
  </si>
  <si>
    <t>SECRETARIO DE SEDECO, ENVIA OFICIO AL INSTITUTO NACIONAL DE LOS PUEBLOS INDIGENAS (INPI), ENVIA POLIGONALES GEORREFERENCIADOS DE LOS PARQUES SOLARES DE SINGUILUCAN, EPAZOYUCAN Y ZEMPOALA</t>
  </si>
  <si>
    <t>238</t>
  </si>
  <si>
    <t>SEDECO/0320/2026</t>
  </si>
  <si>
    <t>SECRETARIO DE SEDECO, ENVIA OFICIO AL COMISIONADO ESTATAL PARA EL DESARROLLO SOSTENIBLE DE LOS PUEBLOS INDIGENAS (CEDSPI), SOLICITUD DE DICTAMEN DE PROCEDENCIA O IMPROCEDENCIA DE CONSULTA INDIGENA APLICABLE A LOS 3 PROYECTOS FOTOVOLTAICOS DE EPAZOYUCAN, SINGUILUCAN Y ZEMPOALA</t>
  </si>
  <si>
    <t>237</t>
  </si>
  <si>
    <t>SEDECO/0258/2026</t>
  </si>
  <si>
    <t xml:space="preserve">SECRETARIO DE SEDECO, ENVIA OFICIO AL ENCARGADO DE LA GERENCIA DE LA DIVISIÓN CFE GOLFO CENTRO, CON LA SOLICITUD DE ALCANCE TÉCNICO DE LOS TRABAJOS DERIVADOS DE LAS AFECTACIONES OCASIONADOS POR ONDA TROPICAL NO. 90E. </t>
  </si>
  <si>
    <t>386</t>
  </si>
  <si>
    <t>SEDECO/CGI/0158/2026</t>
  </si>
  <si>
    <t xml:space="preserve">INVITACIÓN PARA ASISTIR A REUNIONES TRIMETRALES CON LA DIRECCIÓN DE ATENCIÓN AL PUEBLO </t>
  </si>
  <si>
    <t>393</t>
  </si>
  <si>
    <t>395</t>
  </si>
  <si>
    <t>396</t>
  </si>
  <si>
    <t>402</t>
  </si>
  <si>
    <t>SEMARNATH/DESP-234/2026</t>
  </si>
  <si>
    <t xml:space="preserve">CONVOCATORIA PARA ASISTIR A LA NOVENA SESIÓN ORDINARIA DEL SUBCOMITÉ SECTORIAL DE MEDIO AMBIENTE Y RECURSOS NATURALES DEL COPADEHI, EL DÍA VIERNES 15 DE MAYO  </t>
  </si>
  <si>
    <t>SEDECO/CGI/TI/0566/2026
SDPEE/DGAP/2830/2026</t>
  </si>
  <si>
    <t xml:space="preserve">ATENDER A MACLOVIO LOZADA GONZALEZ, QUIEN SOLICITA APOYO CON SERVICIO DE ELECTRICIDAD PARA SU COMUNIDAD </t>
  </si>
  <si>
    <t>SEDECO/CGI/TI/0568/2026
SDPEE/DGAP/28721/2026</t>
  </si>
  <si>
    <t xml:space="preserve">ATENDER A ODÓN RAMOS ÁNGELES, QUIEN SOLICITA 6 PANELES SOLARES PARA SU LOCALIDAD </t>
  </si>
  <si>
    <t>PEZMAPA</t>
  </si>
  <si>
    <t>SEDECO/CGI/TI/059/2026
SDPEE/DGAP/2933/2026</t>
  </si>
  <si>
    <t>ATENDER AL C. ELEAZAR MUÑOZ ARÁMBULA, QUIEN SOLICITA APOYO CON EL SERVICIO DE LUZ EN LA CALLE TLACPAC</t>
  </si>
  <si>
    <t xml:space="preserve">BARRIO LOS TRUNCOS </t>
  </si>
  <si>
    <t>775 149 5962</t>
  </si>
  <si>
    <t>SEDECO/CGI/TI/0524/2026
SDPEE/DGAP/2587/2026</t>
  </si>
  <si>
    <t>SAN JUAN ACHICHILCO</t>
  </si>
  <si>
    <t>773 115 0777</t>
  </si>
  <si>
    <t>55 91 63 16 00</t>
  </si>
  <si>
    <t>SEDECO/CGI/TI/0531/2026
SDPEE/DGAP/2705/2026</t>
  </si>
  <si>
    <t>772 123 9134</t>
  </si>
  <si>
    <t>771 365 2343</t>
  </si>
  <si>
    <t>SAN ANTONIO EL DESMONTE</t>
  </si>
  <si>
    <t>771 382 0155</t>
  </si>
  <si>
    <t xml:space="preserve">RESPUESTA A OFICIO AEEH/DG/309/2026, EN DONDE CFE INFORMA EL ESTATUS A LA SOLICITUD DE AMPLIACIÓN ELÉCTRICA DEL C. MAURICIO TELLEZ HERNÁNDEZ.
OFICIO ENTREGADO POR EL ING. ÁNGEL SOLÍS GARCÍA, JEFE DEL DEPARTAMENTO DE ELECTRIFICACIÓN RURAL, CFE ZONA PACHUCA </t>
  </si>
  <si>
    <t>413</t>
  </si>
  <si>
    <t>414</t>
  </si>
  <si>
    <t>416</t>
  </si>
  <si>
    <t>418</t>
  </si>
  <si>
    <t>SEDECO/CGI/TI/0599/2026
SDPEE/DGAP/2971/2026</t>
  </si>
  <si>
    <t>COAMLIA</t>
  </si>
  <si>
    <t xml:space="preserve">ATENDER AL DELEGADO JUAN BAUTISTA HERNÁNDEZ, QUIEN SOLICITA LA AMPLIACIÓN DE RED ELECTRICA EN SU COMUNIDAD </t>
  </si>
  <si>
    <t>SEDECO/CGI/TI/0601/2026
SDPEE/DGAP/2990/2026</t>
  </si>
  <si>
    <t xml:space="preserve">EL NOPALILLO </t>
  </si>
  <si>
    <t xml:space="preserve">ATENDER AL DELEGADO MARGARITO LEMUS TEMPLOS, QUIEN SOLICITA ALUMBRADO PUBLICO EN SU LOCALIDAD </t>
  </si>
  <si>
    <t>SEDECO/CGI/TI/0600/2026
SDPEE/DGAP/2986/2026</t>
  </si>
  <si>
    <t xml:space="preserve">ATENDER A ROSALVA TEPETITLA GALINDO, QUIEN SOLICITA EL SERVICIO DE ENERGIA ELECTRICA EN SU LOCALIDAD </t>
  </si>
  <si>
    <t>SEDECO/CGI/TI/0607/2026
SDPEE/DGAP/3021/2026</t>
  </si>
  <si>
    <t xml:space="preserve">ATENDER A MARILY RUIZ SERNA, QUIEN SOLICITA EL SERVICIO DE ENERGIA ELECTRICA EN SU LOCALIDAD </t>
  </si>
  <si>
    <t>SEDECO/CGI/TI/0608/2026
SDPEE/DGAP/3060/2026</t>
  </si>
  <si>
    <t>¿SOLICITUD GESTIONADA ANTE CFE?</t>
  </si>
  <si>
    <t>¿CFE DIO RESPUESTA?</t>
  </si>
  <si>
    <t xml:space="preserve">OFICIO CON EL QUE CFE DA RESPUESTA </t>
  </si>
  <si>
    <t>AEEH-2*1S.4/06-2026
PROYECTOS PRIORITARIOS SEMARNATH/SEDECO/AEEH</t>
  </si>
  <si>
    <t xml:space="preserve">POR MOTIVOS DE SATURACIÓN EN LA AGENDA DE TRABAJO, NO SE DA RESPUESTA AL OFICIO </t>
  </si>
  <si>
    <t>¿SOLICITUD GESTIONADA ANTE AYUNTAMIENTOS?</t>
  </si>
  <si>
    <t>¿AYUNTAMIENTO DIO RESPUESTA?</t>
  </si>
  <si>
    <t>SDE-CGI-00202-26</t>
  </si>
  <si>
    <t>NÚMERO DE GESTIÓN EN SIGA</t>
  </si>
  <si>
    <t xml:space="preserve">No. EXPEDIENTE </t>
  </si>
  <si>
    <t xml:space="preserve">AEEH/DG/052/2026, DE FECHA 23/01/2026, ENVIADO AL ING. OCTAVIO GÓMEZ PAULIN, COORDINADOR DE GESTIÓN INSTITUCIONAL </t>
  </si>
  <si>
    <t>ZONAS CFE</t>
  </si>
  <si>
    <t xml:space="preserve">AEEH/DG/055/2026, DE FECHA 26/01/2026, ENVIADO AL MTRO. ANDRÉS MANNING NOVALES, TITULAR DE LA COEMERE </t>
  </si>
  <si>
    <t>SDE-UCC-07557-26</t>
  </si>
  <si>
    <t>AEEH/DG/083/2026, DE FECHA 06/02/2026, ENVIADO AL ING. ALEJANDRO YUSULMAN HERNÁNDEZ LEAL DE CFE</t>
  </si>
  <si>
    <t xml:space="preserve">AEEH/DG/092/2026, DE FECHA 09/02/2026, ENVIADO AL ING. OCTAVIO GÓMEZ PAULIN, COORDINADOR DE GESTIÓN INSTITUCIONAL 
</t>
  </si>
  <si>
    <t xml:space="preserve">GESTIONADA, MEDIANTE OFICIO </t>
  </si>
  <si>
    <t>ZONA IXMIQUILPAN</t>
  </si>
  <si>
    <t>SDE-UCC-07558-26</t>
  </si>
  <si>
    <t>AEEH/DG/080/2026, DE FECHA 05/02/2026, ENVIADO AL ING. OCTAVIO GÓMEZ PAULIN, COORDINADOR DE GESTIÓN INSTITUCIONAL 
CERRADA</t>
  </si>
  <si>
    <t>ZONA PACHUCA</t>
  </si>
  <si>
    <t>SDE-UCC-07705-26</t>
  </si>
  <si>
    <t xml:space="preserve"> AEEH/DG/319/2026, DE FECHA 10/04/2026, ENVIADO AL ING. OCTAVIO GOMEZ PAULIN, COORDINADOR DE GESTÍON INSTITUCIONAL
ARQ. ORLANDO SE CONECTA A LA REUNIÓN CON EL C. MIGUEL ÁNGEL HORTA MARTIN </t>
  </si>
  <si>
    <t xml:space="preserve">AEEH/DG/319/2026, DE FECHA 10/04/2026, ENVIADO AL ING. OCTAVIO GOMEZ PAULIN, COORDINADOR DE GESTÍON INSTITUCIONAL
ARQ. ORLANDO SE CONECTA A LA REUNIÓN CON EL C. MIGUEL ÁNGEL HORTA MARTIN </t>
  </si>
  <si>
    <t>SDE-AEEH-00352-26</t>
  </si>
  <si>
    <t xml:space="preserve">EL AYUNTAMIENTO INFORMO MEDIANTE CORREO ELECTRONICO DE FECHA 10 DE FEBRERO, LA CANCELACIÓN DEL TERCER TALLER DE PARTICIPACIÓN SOCIAL DEBIDO A CIRCUNSTANCIAS IMPREVISTAS Y FUERA DE SU CONTROL.
</t>
  </si>
  <si>
    <t>AEEH/DG/104/2026, DE FECHA 11/02/2026, ENVIADO A LA MTRA. VANESSA MEJÍA HERNÁNDEZ, PRESIDENTA MUNICIPAL DE HUAZALINGO</t>
  </si>
  <si>
    <t>AEEH/DG/077/2026, DE FECHA 05/02/2026, ENVIADO AL MTRO. ANDRÉS MANNING NOVALES
AEEH/DG/085-1/2026, DE FECHA 06/02/2026, ENVIADO A ARQ. ORLANDO MARTÍNEZ JUÁREZ
AEEH/DG/085-2/2026, DE FECHA 06/02/2026, ENVIADO A ING. FRANCISCO JAVIER GARCÍA VILLALPA
AEEH/DG/085-3/2026, DE FECHA 06/02/2026, ENVIADO A LIC. EVA BERENICE RAMÍREZ PÉREZ
AEEH/DG/085-4/2026, DE FECHA 06/02/2026, ENVIADO A LIC. CARLOS LÓPEZ ESPINOSA</t>
  </si>
  <si>
    <t>SDE-UCC-07560-26</t>
  </si>
  <si>
    <t>SE ELABORA FICHA INFORMATIVA DEL PROYECTO: EFICIENCIA EERGÉTICA EN SISTEMAS DE BOMBEO DE AGUA POTABLE</t>
  </si>
  <si>
    <t>SDE-UCC-07744-26</t>
  </si>
  <si>
    <t xml:space="preserve">AEEH/DG/093/2026, DE FECHA 09/02/2026, ENVIADO AL ING. OCTAVIO GÓMEZ PAULIN.
AEEH/DG/143/2026, DE FECHA 18/02/2026, ENVIADO AL ING. OCTAVIO GÓMEZ PAULIN.
</t>
  </si>
  <si>
    <t>OFICIO AEEH/DG/154/2026, DE FECHA 23/02/2026, ENVIADO A LA C. ABRIL MARTÍNEZ PORTILLO, PRESIDENTA MUNICIPAL DE TLANALAPA</t>
  </si>
  <si>
    <t>ZONA TULANCINGO</t>
  </si>
  <si>
    <t>SDE-UCC-07772-26</t>
  </si>
  <si>
    <t>AEEH/DG/160/2026, DE FECHA 25/02/2026, ENVIADO AL MTRO. FRANCISCO SINUHÉ REMÍREZ OVIEDO, PRESIDENTE MUNICIPAL DE ZEMPOALA</t>
  </si>
  <si>
    <t xml:space="preserve">AEEH/DG/094/2026, DE FECHA 09/02/2026, ENVIADO AL ING. OCTAVIO GÓMEZ PAULIN.
AEEH/DG/144/2026, DE FECHA 18/02/2026, ENVIADO AL ING. OCTAVIO GÓMEZ PAULIN.
</t>
  </si>
  <si>
    <t>AEEH/DG/060/2026</t>
  </si>
  <si>
    <t xml:space="preserve">ZONA HUEJUTLA </t>
  </si>
  <si>
    <t>SDE-SSEV-00249-26</t>
  </si>
  <si>
    <t xml:space="preserve">DE CONOCIMIENTO 
</t>
  </si>
  <si>
    <t>SDE-UCC-07785-26</t>
  </si>
  <si>
    <t>AEEH/DG/145/2026, DE FECHA 18/02/2026, ENVIADO AL ING. OCTAVIO GÓMEZ PAULIN.
AEEH/DG/153/2026, DE FECHA 23/02/2026, ENVIADO AL ING. OCTAVIO GÓMEZ PAULIN.</t>
  </si>
  <si>
    <t>RESPUESTA A OFICIO AEEH/DG/079/2026, SE ENVÍA RELACIÒN DE MUNICIPIOS Y LOCALIDADES PARA PROYECTOS DE INVERSIÓN</t>
  </si>
  <si>
    <t>SDE-AEEH-00348-26</t>
  </si>
  <si>
    <t>AEEH-2*1S.3/01-2026
DESARROLLO DE PROYECTOS DE INVERSIÓN (PLANEACIÓN VINCULANTE)</t>
  </si>
  <si>
    <t>SDE-UCC-07902-26</t>
  </si>
  <si>
    <t xml:space="preserve"> AEEH/DG/152/2026, DE FECHA 23/02/2026, ENVIADO AL ING. OCTAVIO GÓMEZ PAULIN.
</t>
  </si>
  <si>
    <t>AEEH/DG/141/2026, DE FECHA 18/02/2026, ENVIADO VIA CORREO ELECTRONICO AL LIC. ABEL CERÓN SAN NICOLÁS, DIRECTOR GENERAL DEL IHDM</t>
  </si>
  <si>
    <t>AEEH/DG/132/2026, DE FECHA 16/02/2026, ENVIADO A LA MTRA. JESSICA ESPERANZA GONZALEZ DÍAZ 
SE DESIGNA A ARELI HERNÁNDEZ COMO ENLACE Y ASISTE A LA CAPACITACIÓN EN PALACIO DE GOBIERNO.</t>
  </si>
  <si>
    <t>SEGUIMIENTO A SOLICITUDES</t>
  </si>
  <si>
    <t>AEEH/DPIE/018/2026, SE ENVIÓ COPIA A LA LIC. JACQUELINE</t>
  </si>
  <si>
    <t>SDE-UCC-07900-26</t>
  </si>
  <si>
    <t xml:space="preserve"> AEEH/DG/168/2026, DE FECHA 27/02/2026, ENVIADO AL ING. OCTAVIO GÓMEZ PAULIN.
AEEH/DG/193/2026, DE FECHA 09/03/2026, ENVIADO AL ING. OCTAVIO GÓMEZ PAULIN.</t>
  </si>
  <si>
    <t>SDE-UCC-07901-26</t>
  </si>
  <si>
    <t xml:space="preserve">AEEH/DG/169/2026, DE FECHA 27/02/2026, ENVIADO AL ING. OCTAVIO GÓMEZ PAULIN.
</t>
  </si>
  <si>
    <t>SDE-UCC-07899-26</t>
  </si>
  <si>
    <t>AEEH/DG/170/2026, DE FECHA 27/02/2026, ENVIADO AL ING. OCTAVIO GÓMEZ PAULIN.
AEEH/DG/194/2026, DE FECHA 09/03/2026, ENVIADO AL ING. OCTAVIO GÓMEZ PAULIN.</t>
  </si>
  <si>
    <t>SDE-UCC-07908-26</t>
  </si>
  <si>
    <t>AEEH/DG/171/2026, DE FECHA 27/02/2026, ENVIADO AL ING. OCTAVIO GÓMEZ PAULIN.
AEEH/DG/195/2026, DE FECHA 09/03/2026, ENVIADO AL ING. OCTAVIO GÓMEZ PAULIN.</t>
  </si>
  <si>
    <t>SDE-UCC-07909-26</t>
  </si>
  <si>
    <t>AEEH/DG/172/2026, DE FECHA 27/02/2026, ENVIADO AL ING. OCTAVIO GÓMEZ PAULIN.
AEEH/DG/196/2026, DE FECHA 09/03/2026, ENVIADO AL ING. OCTAVIO GÓMEZ PAULIN.</t>
  </si>
  <si>
    <t>SDE-UCC-07934-26</t>
  </si>
  <si>
    <t xml:space="preserve">AEEH/DG/173/2026, DE FECHA 27/02/2026 ENVIADO AL ING. OCTAVIO GÓMEZ PAULIN 
AEEH/DG/197/2026, DE FECHA 09/03/2026 ENVIADO AL ING. OCTAVIO GÓMEZ PAULIN </t>
  </si>
  <si>
    <t xml:space="preserve">Se da respuesta con oficio AEEH/DG/578/2025, de fecha 11/julio/25, enviado a Ing. Octavio Gómez Paulín.
Seguimiento con oficio AEEH/DG/664/2025, del 30-jul-25, enviado a Ing. Abraham Méndez Sánchez, Superintendente de CFE Distribución Zona Tula
Solicita se de atención a la C. Herlinda Lugo Pérez, del Mpio. de  Chapantongo, Solicita mediación con CFE para la reubicación de cables de luz de alta tensión ya que afectan en su domicilio en la localidad de Toxthe, en dicho lugar. </t>
  </si>
  <si>
    <t>GESTIÓN 2025
SDE-UCC-05555-25</t>
  </si>
  <si>
    <t>GESTIÓN 2025
SDE-AEEH-00333-25</t>
  </si>
  <si>
    <t xml:space="preserve">AEEH/DG/226/2026, DE FECHA 23/03/2026, ENVIADO A LA MTRA. LILIANA BARRERA JIMÉNEZ
SUBDIRECTORA DE ESTRATEGIA COMERCIAL </t>
  </si>
  <si>
    <t xml:space="preserve">DE CONOCIMIENTO, GESTIÓN DEL AÑO 2025. EN 2026, SE REALIZA UNA REUNIÓN CON INTEGRANTES DE CFE, ARQ. DIEGO Y ARQ. DIEGO </t>
  </si>
  <si>
    <t>SDE-UCC-04712-25</t>
  </si>
  <si>
    <t>Se da respuesta con oficio AEEH/DG/191/2025, de fecha 13/03/2025, enviado a Ing. Octavio Gómez Paulín
Oficio AEEH/DG/427/2025, de fecha 30/05/2025, enviado a Ing. Daniel Mendez Cuaya
Se da respuesta con AMS-072-2026, de fecha 25/02/2026, Ing. Abraham Méndez Sanchez
Los C. Gregorio Rosas Rodríguez, Hilario Olguín Florentino, Teódulo Rosas Rodríguez y Alfredo Medina Bonifacio, integrantes de la sociedad de productores de San Isidro Boxaxni S.R.L. M.I. , Mpio. de Mixquiahuala, Hgo., solicitan mediación con CFE  por una problemática de adeudo con sus cuotas energéticas en un pozo agrícola.</t>
  </si>
  <si>
    <t>SDE-UCC-07960-26</t>
  </si>
  <si>
    <t xml:space="preserve">AEEH/DG/183/2026, DE FECHA 03/03/2026, ENVIADO AL ING. OCTAVIO GÓMEZ PAULIN.
</t>
  </si>
  <si>
    <t>AEEH/DG/231/2026, DE FECHA 23/03/2026, ENVIADO AL ING. VICTOR ISRAEL ALARCON HEREDIA.</t>
  </si>
  <si>
    <t>SDE-UCC-07952-26</t>
  </si>
  <si>
    <t xml:space="preserve">AEEH/DG/182/2026, DE FECHA 03/03/2026, ENVIADO AL ING. OCTAVIO GÓMEZ PAULIN.
AEEH/DG/200/2026, DE FECHA 10/03/2026, ENVIADO AL ING. OCTAVIO GÓMEZ PAULIN.
</t>
  </si>
  <si>
    <t>SDE-UC-00114-26</t>
  </si>
  <si>
    <t xml:space="preserve">AEEH/DG/184/2026 DE FECHA 03/03/2026, ENVIADO AL ING. OCTAVIO GÓMEZ PAULIN 
AEEH/DG/233/2026 DE FECHA 23/03/2026, ENVIADO AL ING. OCTAVIO GÓMEZ PAULIN </t>
  </si>
  <si>
    <t>SDE-UCC-07987-26</t>
  </si>
  <si>
    <t xml:space="preserve">AEEH/DG/202/2026, DE FECHA 10/03/2026, ENVIADO AL ING. OCTAVIO GÓMEZ PAULIN, COORDINADOR DE GESTIÓN INSTITUCIONAL 
AEEH/DG/237/2026, DE FECHA 23/03/2026, ENVIADO AL ING. OCTAVIO GÓMEZ PAULIN, COORDINADOR DE GESTIÓN INSTITUCIONAL 
AEEH/DG/398/2026, DE FECHA 29/04/2026, ENVIADO AL ING. OCTAVIO GÓMEZ PAULIN, COORDINADOR DE GESTIÓN INSTITUCIONAL </t>
  </si>
  <si>
    <t>SDE-UC-00017-26
SDE-CGI-00253-26</t>
  </si>
  <si>
    <t>AEEH/DG/203/2026, DE FECHA 10/03/2026, ENVIADO AL ING. OCTAVIO GÓMEZ PAULIN.</t>
  </si>
  <si>
    <t>AEEH/DG/310/2026, DE FECHA 10/03/2026, ENVIADO AL MTRO. JESÚS IVÁN RODRÍGUEZ LÓPEZ, SUBDIRECTOR DE INGENIERÍA Y ADMINISTRACIÓN DE LA CONSTRUCCIÓN - CFE</t>
  </si>
  <si>
    <t>SDE-UC-00018-26  
SDE-CGI-00239-26</t>
  </si>
  <si>
    <t>AEEH/DG/241/2026, DE FECHA 23/03/2026, ENVIADO A LA C. MARTHA BELEM OLIVER GONZÁLEZ, PRESIDENTA MUINICIPAL DE OMITLAN DE JUAREZ.</t>
  </si>
  <si>
    <t xml:space="preserve">AEEH/DG/201/2026, DE FECHA 10/03/2026, ENVIADO AL ING. OCTAVIO GÓMEZ PAULIN.
AEEH/DG/236/2026, DE FECHA 23/03/2026, ENVIADO AL ING. OCTAVIO GÓMEZ PAULIN.
</t>
  </si>
  <si>
    <t>SDE-UC-00051-26</t>
  </si>
  <si>
    <t xml:space="preserve">AEEH/DG/234/2026, DE FECHA 23/03/2026, ENVIADO AL ING. OCTAVIO GÓMEZ PAULIN.
</t>
  </si>
  <si>
    <t>SDE-CGI-00238-26</t>
  </si>
  <si>
    <t xml:space="preserve">AEEH/DG/232/2026, DE FECHA 23/03/2026, ENVIDO AL ING. OCTAVIO GÓMEZ PAULIN
</t>
  </si>
  <si>
    <t>DE CONOCIMIENTO, ES SEGUIMIENTO A EXPEDIENTE 2025
Solicita se de atención al  C. Luis Hernández Esparza,del Municipio del Arenal, solicita mediación con CFE para llevar a cabo la ampliación de la red eléctrica en la calle "Cerrada Mingos", de dicho lugar.
Se da respuesta con oficio AEEH/DG/461/2025, de fecha 16/junio/25, enviado a Ing. Octavio Gómez Paulín</t>
  </si>
  <si>
    <t>SDE-UCC-05446-25</t>
  </si>
  <si>
    <t>SDE-UC-00052-26</t>
  </si>
  <si>
    <t xml:space="preserve">AEEH/DG/235/2026, DE FECHA 23/03/2026, ENVIADO AL ING. OCTAVIO GÓMEZ PAULIN.
</t>
  </si>
  <si>
    <t> SDE-AEEH-00348-26</t>
  </si>
  <si>
    <t>SDE-UC-00091-26</t>
  </si>
  <si>
    <t>AEEH/DG/240/2026, DE FECHA 23/03/2026, ENVIADO AL ING. OCTAVIO GÓMEZ PAULIN.
AEEH/DG/277/2026, DE FECHA 31/03/2026, ENVIADO AL ING. OCTAVIO GÓMEZ PAULIN.</t>
  </si>
  <si>
    <t>SDE-UC-00117-26</t>
  </si>
  <si>
    <t xml:space="preserve"> AEEH/DG/238/2026, DE FECHA 23/03/2026, ENVIADO AL ING. OCTAVIO GÓMEZ PAULIN.
AEEH/DG/278/2026, DE FECHA 31/03/2026, ENVIADO AL ING. OCTAVIO GÓMEZ PAULIN.
</t>
  </si>
  <si>
    <t>SDE-UC-00115-26</t>
  </si>
  <si>
    <t>AEEH/DG/239/2026, DE FECHA 23/03/2026, ENVIADO AL ING. OCTAVIO GÓMEZ PAULIN.
AEEH/DG/279/2026, DE FECHA 31/03/2026, ENVIADO AL ING. OCTAVIO GÓMEZ PAULIN.</t>
  </si>
  <si>
    <t>SDE-DGES-00424-26</t>
  </si>
  <si>
    <t xml:space="preserve">AEEH/DG/224/2026, DE FECHA 23/03/2026, ENVIADO AL ARQ. ERNESTO CADENA ACOSTA
</t>
  </si>
  <si>
    <t>SDE-UC-00135-26</t>
  </si>
  <si>
    <t>SDE-UC-00136-26</t>
  </si>
  <si>
    <t xml:space="preserve">OFICIO AEEH/DG/242/2026, DE FECHA 23/03/2026, ENVIADO AL ING. OCTAVIO GOMEZ PAULIN 
OFICIO AEEH/DG/281/2026, DE FECHA 31/03/2026, ENVIADO AL ING. OCTAVIO GOMEZ PAULIN 
</t>
  </si>
  <si>
    <t>SDE-SRMAT-00254-26</t>
  </si>
  <si>
    <t xml:space="preserve">AEEH/DG/262/2026, DE FECHA 27/03/2026, ENVIADO A LA MTRA. JESSICA ESPERANZA GONZÁLEZ DÍAZ, COORDINADORA DE ADMINISTRACIÓN Y PLANEACIÓN DE SEDECO </t>
  </si>
  <si>
    <t>SDE-UC-00137-26</t>
  </si>
  <si>
    <t xml:space="preserve">AEEH/DG/258/2026, DE FECHA 27/03/2026, ENVIADO AL ING. OCTAVIO GÓMEZ PAULIN.
</t>
  </si>
  <si>
    <t xml:space="preserve">AEEH/DG/308/2026, DE FECHA 10/04/2026, ENVIADO AL ING. GILBERTO LEÓN ORDAZ, SUPERINTENDENTE EF - CFE ZONA TULANCINGO </t>
  </si>
  <si>
    <t>SDE-UC-00138-26</t>
  </si>
  <si>
    <t>AEEH-DG-256-2026, DE FECHA 27/03/2026, ENVIADO AL ING. OCTAVIO GÓMEZ PAULIN.
AEEH-DG-302-2026, DE FECHA 07/04/2026, ENVIADO AL ING. OCTAVIO GÓMEZ PAULIN COORDINADOR DE GESTIÓN INSTITUCIONAL</t>
  </si>
  <si>
    <t>SDE-UC-00163-26</t>
  </si>
  <si>
    <t xml:space="preserve">AEEH/DG/306/2026, DE FECHA 10/04/2026, ENVIADO AL ING. GILBERTO LEÓN ORDAZ SUPERINTENDENTE EF - CFE ZONA TULANCINGO </t>
  </si>
  <si>
    <t xml:space="preserve">AEEH/DG/397/2026, DE FECHA 28/04/2026, ENVIADO AL ING. OCTAVIO GÓMEZ PAULIN, COORDINADOR DE GESTIÓN INSTITUCIONAL </t>
  </si>
  <si>
    <t>SDE-UC-00173-26</t>
  </si>
  <si>
    <t>AEEH/DG/282/2026, DE FECHA 31/03/2026, ENVIADO AL ING. OCTAVIO GÓMEZ PAULIN.
AEEH/DG/289/2026, DE FECHA 06/04/2026, ENVIADO AL ING. OCTAVIO GÓMEZ PAULIN.</t>
  </si>
  <si>
    <t>SDE-UC-00198-26</t>
  </si>
  <si>
    <t xml:space="preserve">AEEH/DG/259/2026, DE FECHA 27/03/2026, ENVIADO AL ING. OCTAVIO GÓMEZ PAULIN.
AEEH/DG/290/2026, DE FECHA 06/04/2026, ENVIADO AL ING. OCTAVIO GÓMEZ PAULIN.
</t>
  </si>
  <si>
    <t>AEEH/DG/307/2026, DE FECHA 10/04/2026, ENVIADO AL ING. GILBERTO LEON ORDAZ SUPERINTENDENTE EF - CFE ZONA TULANCINGO</t>
  </si>
  <si>
    <t>SDE-UC-00191-26</t>
  </si>
  <si>
    <t>AEEH/DG/392/2026, DE FECHA 28/04/2026, ENVIADO A LA C. MA. EUGENIA MONROY LÓPEZ, PETICIONARIA DEL MUNICIPIO DE TEPEAPULCO.</t>
  </si>
  <si>
    <t xml:space="preserve">AEEH/DG/257/2026, DE FECHA 27/03/2026, ENVIADO AL ING. OCTAVIO GOMEZ PAULIN. 
AEEH/DG/303/2026, DE FECHA 08/04/2026, ENVIADO AL ING. OCTAVIO GOMEZ PAULIN COORDINADOR DE GESTION INSTITUCIONAL.
</t>
  </si>
  <si>
    <t>SDE-UC-00201-26</t>
  </si>
  <si>
    <t>AEEH/DG/260/2026, DE FECHA 27/03/2026, ENVIADO AL ING. OCTAVIO GÓMEZ PAULIN.
AEEH/DG/291/2026, DE FECHA 06/04/2026, ENVIADO AL ING. OCTAVIO GÓMEZ PAULIN.</t>
  </si>
  <si>
    <t xml:space="preserve">AEEH-2*1S.5/03-2026
FOTEASE SFV BOMBEOS </t>
  </si>
  <si>
    <t>SDE-AEEH-00271-25</t>
  </si>
  <si>
    <t>SDE-UC-00236-26</t>
  </si>
  <si>
    <t xml:space="preserve">AEEH/DG/292/2026, DE FECHA 06/04/2026, ENVIADO AL ING. OCTAVIO GÓMEZ PAULIN.
 </t>
  </si>
  <si>
    <t>AEEH/DG/347/2026, DE FECHA 17/04/2026, ENVIADO AL ING. VÍCTOR ISRAEL ALARCÓN HEREDIA, SUPERINTENDETNE DE LA CFE ZONA PACHUCA</t>
  </si>
  <si>
    <t>SDE-UC-00235-26</t>
  </si>
  <si>
    <t>AEEH/DG/391/2026, DE FECHA 28/04/2026, ENVIADO AL DR. FÉLIX ÁVILA CASTELÁN, PRESIDENTE MUNICIPAL CONSTITUCIONAL DE TEPEAPULCO.</t>
  </si>
  <si>
    <t xml:space="preserve">AEEH/DG/293/2026, DE FECHA 06/04/2026, ENVIADO AL ING. OCTAVIO GÓMEZ PAULIN.
</t>
  </si>
  <si>
    <t xml:space="preserve">SI </t>
  </si>
  <si>
    <t>SDE-UC-00237-26</t>
  </si>
  <si>
    <t>AEEH/DG/294/2026, DE FECHA 06/04/2026, ENVIADO AL ING. OCTAVIO GÓMEZ PAULIN.
AEEH/DG/343/2026, DE FECHA 17/04/2026, ENVIADO AL ING. OCTAVIO GÓMEZ PAULIN.</t>
  </si>
  <si>
    <t>SDE-UC-00242-26</t>
  </si>
  <si>
    <t>AEEH/DG/295/2026, DE FECHA 06/04/2026, ENVIADO AL ING. OCTAVIO GÓMEZ PAULIN.
AEEH/DG/344/2026, DE FECHA 17/04/2026, ENVIADO AL ING. OCTAVIO GÓMEZ PAULIN.</t>
  </si>
  <si>
    <t>SDE-UC-00257-26</t>
  </si>
  <si>
    <t>AEEH/DG/296/2026, DE FECHA 06/04/2026, ENVIADO AL ING. OCTAVIO GÓMEZ PAULIN.
AEEH/DG/345/2026, DE FECHA 17/04/2026, ENVIADO AL ING. OCTAVIO GÓMEZ PAULIN.</t>
  </si>
  <si>
    <t>SDE-UC-00259-26</t>
  </si>
  <si>
    <t>AEEH/DG/309/2026, DE FECHA 10/04/2026, ENVIADO AL ING. VÍCTOR ISRAEL ALARCÓN HEREDIA, SUPERINTENDENTE DE LA CFE ZONA PACHUCA</t>
  </si>
  <si>
    <t xml:space="preserve">CFE-DIS/DELEC-0121/2026, INFORMANDO EL ESTATUS DE LA SOLICITUD </t>
  </si>
  <si>
    <t xml:space="preserve">AEEH/DG/444/2026, DE FECHA 15/05/2026, ENVIADO AL ING. OCTAVIO GÓMEZ PAULIN, COORDINADOR DE GESTIÓN INSTITUCIONAL </t>
  </si>
  <si>
    <t>SDE-UC-00260-26</t>
  </si>
  <si>
    <t>SDE-UC-00307-26</t>
  </si>
  <si>
    <t xml:space="preserve">AEEH/DG/312/2026, DE FECHA 10/04/2026, ENVIADO AL ING. OCTAVIO GÓMEZ PAULIN COORDINADOR DE GESTIÓN INSTITUCIONAL 
AEEH/DG/354/2026, DE FECHA 21/04/2026, ENVIADO AL ING. OCTAVIO GÓMEZ PAULIN COORDINADOR DE GESTIÓN INSTITUCIONAL 
</t>
  </si>
  <si>
    <t>SDE-UC-00310-26</t>
  </si>
  <si>
    <t xml:space="preserve">AEEH/DG/315/2026, DE FECHA 10/04/2026, ENVIADO AL ING. OCTAVIO GÓMEZ PAULIN COORDINADOR DE GESTIÓN INSTITUCIONAL 
AEEH/DG/366/2026, DE FECHA 21/04/2026, ENVIADO AL ING. OCTAVIO GÓMEZ PAULIN COORDINADOR DE GESTIÓN INSTITUCIONAL </t>
  </si>
  <si>
    <t>andreagonzalez46960@gmail.com</t>
  </si>
  <si>
    <t>SDE-UC-00315-26</t>
  </si>
  <si>
    <t xml:space="preserve">AEEH/DG/318/2026, DE FECHA 10/04/2026, ENVIADO AL ING. OCTAVIO GÓMEZ PAULIN COORDINADOR DE GESTIÓN INSTITUCIONAL </t>
  </si>
  <si>
    <t>SDE-UC-00317-26</t>
  </si>
  <si>
    <t xml:space="preserve">AEEH/DG/314/2026, DE FECHA 10/04/2026, ENVIADO AL ING. OCTAVIO GÓMEZ PAULIN COORDINADOR DE GESTIÓN INSTITUCIONAL 
AEEH/DG/353/2026, DE FECHA 21/04/2026, ENVIADO AL ING. OCTAVIO GÓMEZ PAULIN COORDINADOR DE GESTIÓN INSTITUCIONAL </t>
  </si>
  <si>
    <t>SDE-UC-00318-26</t>
  </si>
  <si>
    <t>AEEH/DG/385/2026, DE FECHA 28/04/2026, ENVIADO AL ING. ALEJANDRO YUSULMAN HERNÁNDEZ LEAL, SUPERINTENDENTE DE CFE DISTRIBUCIÓN ZONA IXMIQUILPAN.</t>
  </si>
  <si>
    <t xml:space="preserve">AEEH/DG/313/2026, DE FECHA 10/04/2026, ENVIADO AL ING. OCTAVIO GÓMEZ PAULIN COORDINADOR DE GESTIÓN INSTITUCIONAL.
</t>
  </si>
  <si>
    <t>SDE-UC-00313-26</t>
  </si>
  <si>
    <t xml:space="preserve">AEEH/DG/316/2026, DE FECHA 10/04/2026, ENVIADO AL ING. OCTAVIO GÓMEZ PAULIN COORDINADOR DE GESTIÓN INSTITUCIONAL.
</t>
  </si>
  <si>
    <t>AEEH/DG/390/2026, DE FECHA 28/04/2026, ENVIADO AL ING. JULIO AGUSTÍN CRUZ TOVAR, PRESIDENTE MUNICIPAL CONSTITUCIONAL DE ALFAJACUYAN.</t>
  </si>
  <si>
    <t>SDE-UC-00316-26</t>
  </si>
  <si>
    <t xml:space="preserve"> AEEH/DG/311/2026, DE FECHA 10/04/2026, ENVIADO AL ING. OCTAVIO GÓMEZ PAULIN COORDINADOR DE GESTIÓN INSTITUCIONAL 
</t>
  </si>
  <si>
    <t xml:space="preserve"> AEEH/DG/386/2026, DE FECHA 28/04/2026, ENVIADO AL ING. ALEJANDRO YUSULMAN HERNÁNDEZ LEAL, SUPERINTENDENTE DE CFE DISTRIBUCIÓN ZONA IXMIQUILPAN </t>
  </si>
  <si>
    <t xml:space="preserve"> SDE-UC-00360-26</t>
  </si>
  <si>
    <t xml:space="preserve">AEEH/DG/317/2026, DE FECHA 10/04/2026, ENVIADO AL ING. OCTAVIO GÓMEZ PAULIN COORDINADOR DE GESTIÓN INSTITUCIONAL 
 AEEH/DG/355/2026, DE FECHA 21/04/2026, ENVIADO AL ING. OCTAVIO GÓMEZ PAULIN COORDINADOR DE GESTIÓN INSTITUCIONAL </t>
  </si>
  <si>
    <t>SDE-UC-00365-26</t>
  </si>
  <si>
    <t xml:space="preserve">AEEH/DG/365/2026, DE FECHA 21/04/2026, ENVIADO AL ING. OCTAVIO GOMEZ PAULIN </t>
  </si>
  <si>
    <t>ZONA TULA</t>
  </si>
  <si>
    <t>SDE-UC-00398-26</t>
  </si>
  <si>
    <t xml:space="preserve">AEEH/DG/356/2026, DE FECHA 21/04/2026, ENVIADO AL ING. OCTAVIO GOMEZ PAULIN, COORDINADOR DE GESTIÓN INSTITUCIONAL  
</t>
  </si>
  <si>
    <t>SDE-UC-00399-26</t>
  </si>
  <si>
    <t xml:space="preserve">AEEH/DG/357/2026, DE FECHA 21/04/2026, ENVIADO AL ING. OCTAVIO GÓMEZ PAULIN  
</t>
  </si>
  <si>
    <t xml:space="preserve">AEEH/DG/433/2026, DE FECHA 14/05/2026, ENVIADO AL ING. ALEJANDRO YUSULMAN HERNÁNDEZ LEAL, SUPERINTENDENTE DE LA CFE ZONA IXMIQUILPAN </t>
  </si>
  <si>
    <t>SDE-UC-00405-26</t>
  </si>
  <si>
    <t xml:space="preserve">AEEH/DG/358/2026, DE FECHA 21/04/2026, ENVIADO AL ING. OCTAVIO GOMEZ PAULIN </t>
  </si>
  <si>
    <t>pedroguerrerogonz30@gmail.com</t>
  </si>
  <si>
    <t>SDE-UC-00404-26</t>
  </si>
  <si>
    <t xml:space="preserve"> AEEH/DG/359/2026, DE FECHA 21/04/2026, ENVIADO AL ING. OCTAVIO GOMEZ PAULIN
</t>
  </si>
  <si>
    <t xml:space="preserve"> AEEH/DG/432/2026, DE FECHA 14/05/2026, ENVIADO AL ING. ALEJANDRO YUSULMAN HERNÁNDEZ LEAL, SUPERINTENDENTE DE LA CFE ZONA IXMIQUILPAN </t>
  </si>
  <si>
    <t>SDE-UC-00361-206</t>
  </si>
  <si>
    <t xml:space="preserve">AEEH/DG/360/2026, DE FECHA 21/04/206, ENVIADO AL ING. OCTAVIO GOMEZ PAULIN </t>
  </si>
  <si>
    <t>SDE-UC-00358-26</t>
  </si>
  <si>
    <t>AEEH/DG/387/2026, DE FECHA 28/04/2026, ENVIADO AL ING. ABRAHAM MÉNDEZ SÁNCHEZ, SUPERINTENDENTE DE CFE DISTRIBUCIÓN ZONA TULA</t>
  </si>
  <si>
    <t xml:space="preserve">AEEH/DG/396/2026, DE FECHA 29/04/2026, ENVIADO AL ING. OCTAVIO GÓMEZ PAULIN, COORDINADOR DE GESTIÓN INSTITUCIONAL 
</t>
  </si>
  <si>
    <t>SDE-UC-00357-26</t>
  </si>
  <si>
    <t>AEEH/DG/388/2026, DE FECHA 28/04/2026, ENVIADO AL ING. ABRAHAM MÉNDEZ SÁNCHEZ, SUPERINTENDENTE DE CFE DISTRIBUCIÓN ZONA TULA</t>
  </si>
  <si>
    <t xml:space="preserve">AEEH/DG/445/2026, DE FECHA 15/05/2026, ENVIADO AL ING. OCTAVIO GOMEZ PAULIN, COORDINADOR DE GESTIÓN INSTITUCIONAL 
</t>
  </si>
  <si>
    <t>SDE-UC-00370-26</t>
  </si>
  <si>
    <t>SDE-UC-00447-26</t>
  </si>
  <si>
    <t xml:space="preserve">AEEH/DG/364/2026, DE FECHA 21/04/2026, ENVIADO AL ING OCTAVIO GOMEZ PAULIN </t>
  </si>
  <si>
    <t>SDE-UC-00371-26</t>
  </si>
  <si>
    <t xml:space="preserve">AEEH/DG/361/2026, DE FECHA 21/04/2026, ENVIADO AL ING. OCTAVIO GOMEZ PAULIN </t>
  </si>
  <si>
    <t>SDE-UC-00373-26</t>
  </si>
  <si>
    <t>AEEH/DG/389/2026, DE FECHA 28/04/2026, ENVIADO AL ING. ALEJANDRO YUSULMAN HERNÁNDEZ LEAL.</t>
  </si>
  <si>
    <t xml:space="preserve">SE DA RESPUESTA CON OFICIO AEEH/DG/395/2026, DE FECHA 29/04/2026, ENVIADO AL ING. OCTAVIO GÓMEZ PAULIN, COORDINADOR DE GESTIÓN INSTITUCIONAL 
</t>
  </si>
  <si>
    <t>SDE-UC-00375-26</t>
  </si>
  <si>
    <t xml:space="preserve">SE DA RESPUESTA CON OFICIO AEEH/DG/363/2026, DE FECHA 21/04/2026, ENVIADO AL ING. OCTAVIO GOMEZ PAULIN </t>
  </si>
  <si>
    <t>SDE-UC-00423-26</t>
  </si>
  <si>
    <t xml:space="preserve">AEEH/DG/377/2026, DE FECHA 27/04/2026, ENVIADO AL ING. OCTAVIO GOMEZ PAULIN, COORDINADOR DE GESTIÓN INSTITUCIONAL </t>
  </si>
  <si>
    <t>SDE-UC-00422-26</t>
  </si>
  <si>
    <t xml:space="preserve">AEEH/DG/378/2026, DE FECHA 27/04/2026, ENVIADO AL ING. OCTAVIO GOMEZ PAULIN, COORDINADOR DE GESTIÓN INSTITUCIONAL </t>
  </si>
  <si>
    <t xml:space="preserve">CENTRO </t>
  </si>
  <si>
    <t>SDE-UC-00464-26</t>
  </si>
  <si>
    <t xml:space="preserve">AEEH-DG-375-2026, DE FECHA 24/04/2026, ENVIADO AL ING. OCTAVIO GÓMEZ PAULIN </t>
  </si>
  <si>
    <t xml:space="preserve">ING. SANDRA Y ARQ. ORLANDO ASISTEN A LA SESIÓN, SE ELABORA REPORTE DE ACTIVIDADES </t>
  </si>
  <si>
    <t xml:space="preserve">COORDINADORA DE TELECOM, DA RESPUESTA A OFICIO AEEH/DG/226/2026, EN DONDE PROPONE REALIZAR UNA REUNIÓN VIRTUAL PARA ABORDAR TEMAS DE LOS MUNICIPIOS DE FRANCISCO I. MADERO Y ALMOLOYA </t>
  </si>
  <si>
    <t>SDE-UC-00512-26</t>
  </si>
  <si>
    <t xml:space="preserve">AEEH/DG/439/2026, DE FECHA 15/05/2026, ENVIADO AL ING. OCTAVIO GÓMEZ PAULIN, COORDINADOR DE GESTIÓN INSTITUCIONAL  </t>
  </si>
  <si>
    <t>SDE-UC-00497-26</t>
  </si>
  <si>
    <t>AEEH/DG/442/2026, DE FECHA 15/05/2026, ENVIADO AL ING. OCTAVIO GÓMEZ PAULIN, COORDINADOR DE GESTIÓN INSTITUCIONAL .
EL 08 DE MAYO, SE REALIZÓ UNA REUNIÓN EN LAS OFICINAS DE LA AEEH CON REPRESENTANTES DE LA ESCUELA.
ELM 13 DE MAYO, SE REALIZÓ UNA REUNIÓN VIRTUAL CON INTEGRANTES DEL IHE</t>
  </si>
  <si>
    <t>SDE-UC-00504-26</t>
  </si>
  <si>
    <t xml:space="preserve">AEEH/DG/440/2026, DE FECHA 15/05/2026, ENVIADO AL ING. OCTAVIO GÓMEZ PAULIN, COORDINADOR DE GESTIÓN INSTITUCIONAL  </t>
  </si>
  <si>
    <t>PRADERAS DEL POTRERO</t>
  </si>
  <si>
    <t>SDE-UC-00557-26</t>
  </si>
  <si>
    <t xml:space="preserve">AEEH/DG/438/2026, DE FECHA 15/05/2026, ENVIADO AL ING. OCTAVIO GÓMEZ PAULIN, COORDINADOR DE GESTIÓN INSTITUCIONAL  </t>
  </si>
  <si>
    <t>SDE-UC-00558-26</t>
  </si>
  <si>
    <t>SDE-UC-00567-26</t>
  </si>
  <si>
    <t xml:space="preserve">AEEH/DG/441/2026, DE FECHA 15/05/2026, ENVIADO AL ING. OCTAVIO GÓMEZ PAULIN, COORDINADOR DE GESTIÓN INSTITUCIONAL  </t>
  </si>
  <si>
    <t>SDE-UC-00587-26</t>
  </si>
  <si>
    <t xml:space="preserve">AEEH/DG/443/2026, DE FECHA 15/05/2026, ENVIADO AL ING. OCTAVIO GÓMEZ PAULIN, COORDINADOR DE GESTIÓN INSTITUCIONAL  </t>
  </si>
  <si>
    <t>MMHR-223-2026
GLO-123-2026</t>
  </si>
  <si>
    <t xml:space="preserve">NO SE ASISTE DEBIDO A LA CARGA DE TRABAJO DE LA DIRECCIÓN </t>
  </si>
  <si>
    <t>SDE-CGI-00265-26</t>
  </si>
  <si>
    <t xml:space="preserve"> DE CONOCIMIENTO </t>
  </si>
  <si>
    <t>ARQ. ORLANDO SE CONECTA A LA REUNIÓN, SE ELABORA REPORTE DE ACTIVIDADES</t>
  </si>
  <si>
    <t>SDE-UC-00622-26</t>
  </si>
  <si>
    <t>SDE-UC-00637-26</t>
  </si>
  <si>
    <t>SDE-UC-00699-26</t>
  </si>
  <si>
    <t>SDE-UC-00700-26</t>
  </si>
  <si>
    <t>SDE-UC-00698-26</t>
  </si>
  <si>
    <t>SDE-UC-00697-26</t>
  </si>
  <si>
    <t>SDE-UC-00724-26</t>
  </si>
  <si>
    <t>SDE-UC-00716-26</t>
  </si>
  <si>
    <t xml:space="preserve">ATENDER AL C. JOSE AQUINO NARANJO QUIEN SOLICITA LA TERMINACIÓN DE LA AMPLIACIÓN DEL SERVICIO DE ENERGÍA ELECTRICA EN SU LOCALIDAD </t>
  </si>
  <si>
    <t>Otras Instancias
(Federales, Estatales y Municipales)</t>
  </si>
  <si>
    <t>Seguimiento a solicitudes</t>
  </si>
  <si>
    <t>3.- ELECTRIFICACIÓN</t>
  </si>
  <si>
    <t>4.- ENERGÍA RENOVABLE (SOLAR, EÓLICA)</t>
  </si>
  <si>
    <t xml:space="preserve">5.- HIDROCARBUROS </t>
  </si>
  <si>
    <t>6.- INFRAESTRUCTURA ELÉCTRICA</t>
  </si>
  <si>
    <t>8.- MEJORAS A LA RED</t>
  </si>
  <si>
    <t xml:space="preserve">9.- SISTEMAS DE BOMBEO DE AGUA POTABLE </t>
  </si>
  <si>
    <t>10.- SISTEMAS DE BOMBEO PARA RIEGO AGRICOLA</t>
  </si>
  <si>
    <t>11.- TELECOMUNICACIONES</t>
  </si>
  <si>
    <t xml:space="preserve">7.- INVITACIONES/EXPOS/CONGRESOS/TEMAS ADMINISTRATIVOS/CAPACITACIONES/ATENCIÓN A EMPRESAS/ELECTROMOVILIDAD/OTROS  </t>
  </si>
  <si>
    <t>12.- SEGUIMIENTO A SOLICITUDES</t>
  </si>
  <si>
    <t xml:space="preserve">13.- REUBICACIÓN DE POSTES </t>
  </si>
  <si>
    <t xml:space="preserve"> Clasificación de Correspondencia turnada por Otras Instancias (Federales, Estatales y Municipales)</t>
  </si>
  <si>
    <t xml:space="preserve"> Clasificación Total de Correspondencia
Gestionada ante CFE</t>
  </si>
  <si>
    <t>(Todas)</t>
  </si>
  <si>
    <t xml:space="preserve"> Clasificación Total de Correspondencia
Atendida por CFE</t>
  </si>
  <si>
    <t>Beneficiarios Directos</t>
  </si>
  <si>
    <t>PERSONAS ATENDIDAS</t>
  </si>
  <si>
    <t>AEEH-2*1S.4/02-2026
EXPOS - CONGRESOS - INVITACIONES</t>
  </si>
  <si>
    <t>AEEH-2*1S.3/04-2025
PROYECTOS ENERGÉTICOS - IBERDROLA</t>
  </si>
  <si>
    <t>NO SE ASISTE A LA SESIÓN 
(ARQ. ORLANDO, ARQ. DIEGO)</t>
  </si>
  <si>
    <t>SDE-AEEH-00375-26</t>
  </si>
  <si>
    <t xml:space="preserve">AEEH-2*1S.1/11-2025
ASESORIAS EN MATERIA DE HIDROCARBUROS </t>
  </si>
  <si>
    <t>SDE-AEEH-00325-25</t>
  </si>
  <si>
    <t>2*1S.1/01 III-2024</t>
  </si>
  <si>
    <t>2*1S.1/03-2024</t>
  </si>
  <si>
    <t>OFICIO RESOLUTIVO DE CFE A GESTIÓN 2024</t>
  </si>
  <si>
    <t>AEEH-2*1S/10-2026
SOLICITUD DE INFORMACIÓN CIUDADANA - PARQUES SOLARES FOTOVOLTAICOS</t>
  </si>
  <si>
    <t>SDE-AEEH-00376-26</t>
  </si>
  <si>
    <t>AEEH-2*1S.1/04-2026
LICITACIONES CFE - AFECTACIONES ONDA TROPICAL NO. 90 E</t>
  </si>
  <si>
    <t xml:space="preserve">AEEH/DG/455/2026, DE FECHA 20/05/2026, ENVIADO AL ING. OCTAVIO GÓMEZ PAULIN, COORDINADOR DE GESTIÓN INSTITUCIONAL  </t>
  </si>
  <si>
    <t xml:space="preserve">AEEH/DG/457/2026, DE FECHA 20/05/2026, ENVIADO AL ING. OCTAVIO GÓMEZ PAULIN, COORDINADOR DE GESTIÓN INSTITUCIONAL  </t>
  </si>
  <si>
    <t xml:space="preserve">ATENDER A LA C. ÁNGELA GARCÍA ORTÍZ, QUIEN SOLICITA APOYO PARA LA ILUMINACIÓN DEL BOULEVARD UBICADO EN LA ENTRADA DE SU MUNICIPIO </t>
  </si>
  <si>
    <t xml:space="preserve">ATENDER A LA DELEGADA GRICELDA MARTÍNEZ CHÁVEZ, QUIEN SOLICITA APOYO PARA CAMBIAR LA LINEA DE LUZ YA QUE LOS POSTES SE ENCUENTRAN EN MAL ESTADO </t>
  </si>
  <si>
    <t xml:space="preserve">ATENDER A RENÉ GARCÍA MATÍAS, QUIEN SOLICITA ENERGIA ELECTRICA PARA SU COMUNIDAD </t>
  </si>
  <si>
    <t xml:space="preserve">ATENDER A BERNARDA LETICIA GALVÁN SÁNCHEZ, QUIEN SOLICITA LA HABILITACIÓN DE UN TRANSFOMADOR Y ALUMBRADO PÚBLICO EN SU LOCALIDAD </t>
  </si>
  <si>
    <t xml:space="preserve">ATENDER A TANIA YADIRA RAMÍREZ FUENTES, QUIEN SOLICITA LA AMPLIACIÓN DE RED ELECTRICA Y 10 LAMPARAS DE ALUMBRADO PUBLICO </t>
  </si>
  <si>
    <t xml:space="preserve">ATENDER A ELOÍSA GONZÁLEZ GONZÁLEZ, QUIEN SOLICITA 10 POSTES PARA AMPLIACION DE RED ELCECTRICA Y ALUMBRADO PUBLICO </t>
  </si>
  <si>
    <t>ATENDER A JOSÉ JUAN GARCÉS ALAMILLA, QUIEN SOLICITA LA AMPLIACIÓN DE LA RED DE SUMINISTRO ELECTRICO</t>
  </si>
  <si>
    <t xml:space="preserve">ATENDER A DAFNE LIZETH RAMOS LÓPEZ QUIEN SOLICITA APOYO PARA RETIRAR UN POSTE DE LUZ, CABLES DE ALTA TENSIÓN CERCA DE SU DOMICILIO </t>
  </si>
  <si>
    <t xml:space="preserve">TOTALES </t>
  </si>
  <si>
    <t>AEEH/DG/453/2026, DE FECHA 20/05/2026, ENVIADO A LA C. MA. YANET FERNÁNDEZ FERNÁNDEZ, PRESIDENTA MUNICIPAL DE SANTIAGO TULANTEPEC</t>
  </si>
  <si>
    <t>Suma de Personas Atendidas</t>
  </si>
  <si>
    <t>AEEH/DG/454/2026, DE FECHA 20/05/2026, ENVIADO A LA MTRA. YEYMI YADIRA SOLÍS ZAVALA</t>
  </si>
  <si>
    <t xml:space="preserve">LA DIRECCIÓN GENERAL DE EFICIENCIA Y SUSTENTABILIDAD ENERGÉTICA DE LA SENER, ENVIA INVITACIÓN A UNA REUNIÓN DE COORDINACIÓN PARA CONOCER LAS ACTIVIDADES DE LA AEEH, EL DÍA VIERNES 08 DE MAYO </t>
  </si>
  <si>
    <t xml:space="preserve">ARQ, ORLANDO SE CONECTA A LA REUNIÓN Y SE ELABORA REPORTE DE ACTIVIDADES </t>
  </si>
  <si>
    <t xml:space="preserve">AEEH/DG/479/2026, DE FECHA 29/05/2026, ENVIADO AL ING. OCTAVIO GÓMEZ PAULIN, COORDINADOR DE GESTIÓN INSTITUCIONAL  </t>
  </si>
  <si>
    <t xml:space="preserve">AEEH/DG/476/2026, DE FECHA 29/05/2026, ENVIADO AL ING. OCTAVIO GÓMEZ PAULIN, COORDINADOR DE GESTIÓN INSTITUCIONAL  </t>
  </si>
  <si>
    <t xml:space="preserve">AEEH/DG/477/2026, DE FECHA 29/05/2026, ENVIADO AL ING. OCTAVIO GÓMEZ PAULIN, COORDINADOR DE GESTIÓN INSTITUCIONAL  </t>
  </si>
  <si>
    <t xml:space="preserve">AEEH/DG/478/2026, DE FECHA 29/05/2026, ENVIADO AL ING. OCTAVIO GÓMEZ PAULIN, COORDINADOR DE GESTIÓN INSTITUCIONAL  </t>
  </si>
  <si>
    <t xml:space="preserve">AEEH/DG/480/2026, DE FECHA 29/05/2026, ENVIADO AL ING. OCTAVIO GÓMEZ PAULIN, COORDINADOR DE GESTIÓN INSTITUCIONAL  </t>
  </si>
  <si>
    <t xml:space="preserve">AEEH/DG/321/2026, DE FECHA 13/04/2026, ENVIADO A LA MTRA. LUZ ELENA GONZALEZ ESCOBAR DE LA SECRETARÍA DE ENERGÍA (SENER)
AEEH/DG/467/2026, DE FECHA 26/05/2026, ENVIADO AL ING. ANDRÉS RIVERA ROSALES, DIRECTOR GENERAL DE ATENCIÓN A PUEBLOS INDÍGENAS DE LA COMISIÓN ESTATAL PARA EL DESARROLLO SOSTENIBLE DE LOS PUEBLOS INDÍGENAS </t>
  </si>
  <si>
    <t xml:space="preserve">AEEH/DG/243/2026, DE FECHA 23/03/2026,  ENVIADO AL ING. OCTAVIO GOMEZ PAULIN 
AEEH/DG/280/2026, DE FECHA 31/03/2026, ENVIADO AL ING. OCTAVIO GOMEZ PAULIN </t>
  </si>
  <si>
    <t>AEEH/DG/297/2026, DE FECHA 06/04/2026, ENVIADO AL ING. OCTAVIO GÓMEZ PAULIN.
AEEH/DG/346/2026, DE FECHA 17/04/2026, ENVIADO AL ING. OCTAVIO GÓMEZ PAULIN.
AEEH/DG/506/2026, DE FECHA 05/06/2026, ENVIADO AL ING. OCTAVIO GÓMEZ PAULIN.</t>
  </si>
  <si>
    <t xml:space="preserve">AEEH/DG/362/2026, DE FECHA 21/04/2026, ENVIADO AL ING.OCTAVIO GOMEZ PAULIN 
AEEH/DG/507/2026, DE FECHA 05/06/2026, ENVIADO AL ING.OCTAVIO GOMEZ PAULIN </t>
  </si>
  <si>
    <t>AEEH/DG/504/2026, DE FECHA 05/06/2026, ENVIADO AL ING. HUGO ALEJANDRO ABUNDIS GONZÁLEZ, SUPERINTENDENTE DE CFE DISTRIBUCIÓN ZONA HUEJUTLA</t>
  </si>
  <si>
    <t>425</t>
  </si>
  <si>
    <t>SEDECO/CGI/TI/0627/2026
SDPEE/DGAP/3129/2026</t>
  </si>
  <si>
    <t xml:space="preserve">EL NANTHE </t>
  </si>
  <si>
    <t xml:space="preserve">ATENDER A VICTORINO TRANQUILINO MONROY, QUIEN SOLICITA LA AMPLIACIÓN DE ALUMBRADO PÚBLICO EN SU LOCALIDAD </t>
  </si>
  <si>
    <t>SDE-UC-00747-26</t>
  </si>
  <si>
    <t>771 964 1734</t>
  </si>
  <si>
    <t xml:space="preserve">AEEH/DG/489/2026, DE FECHA 01/06/2026, ENVIADO AL ING. OCTAVIO GÓMEZ PAULIN, COORDINADOR DE GESTIÓN INSTITUCIONAL  
AEEH/DG/501/2026, DE FECHA 05/06/2026, ENVIADO AL ING. OCTAVIO GÓMEZ PAULIN, COORDINADOR DE GESTIÓN INSTITUCIONAL  </t>
  </si>
  <si>
    <t>426</t>
  </si>
  <si>
    <t>427</t>
  </si>
  <si>
    <t>432</t>
  </si>
  <si>
    <t>433</t>
  </si>
  <si>
    <t>436</t>
  </si>
  <si>
    <t>437</t>
  </si>
  <si>
    <t>443</t>
  </si>
  <si>
    <t>462</t>
  </si>
  <si>
    <t>464</t>
  </si>
  <si>
    <t>SEDECO/CGI/TI/0630/2026
SDPEE/DGAP/3150/2026</t>
  </si>
  <si>
    <t>SANTA CLARA</t>
  </si>
  <si>
    <t xml:space="preserve">ATENDER A ROSA MARÍA SÁNCHEZ ORTÍZ, QUIEN SOLICITA LA INSTALACIÓN DEL SERVICIO DE LUZ EN SU LOCALIDAD </t>
  </si>
  <si>
    <t>SDE-UC-00749-26</t>
  </si>
  <si>
    <t>775 114 1437</t>
  </si>
  <si>
    <t xml:space="preserve">AEEH/DG/490/2026, DE FECHA 01/06/2026, ENVIADO AL ING. OCTAVIO GÓMEZ PAULIN, COORDINADOR DE GESTIÓN INSTITUCIONAL  
AEEH/DG/502/2026, DE FECHA 05/06/2026, ENVIADO AL ING. OCTAVIO GÓMEZ PAULIN, COORDINADOR DE GESTIÓN INSTITUCIONAL  </t>
  </si>
  <si>
    <t>SEDECO/CGI/TI/0631/2026
SDPEE/DGAP/3147/2026</t>
  </si>
  <si>
    <t xml:space="preserve">SAN JUAN IXTILMACO </t>
  </si>
  <si>
    <t xml:space="preserve">ATENDER A RAFAELA GONZÁLEZ LÓPEZ, A FIN DE INSTALAR ALUMBRADO PÚBLICO EN SU LOCALIDAD </t>
  </si>
  <si>
    <t>SDE-UC-00748-26</t>
  </si>
  <si>
    <t>481 110 8824</t>
  </si>
  <si>
    <t xml:space="preserve">AEEH/DG/491/2026, DE FECHA 01/06/2026, ENVIADO AL ING. OCTAVIO GÓMEZ PAULIN, COORDINADOR DE GESTIÓN INSTITUCIONAL  
AEEH/DG/503/2026, DE FECHA 05/06/2026, ENVIADO AL ING. OCTAVIO GÓMEZ PAULIN, COORDINADOR DE GESTIÓN INSTITUCIONAL  </t>
  </si>
  <si>
    <t>CENAGAS-DG/00111/2026</t>
  </si>
  <si>
    <t xml:space="preserve">CENTRO NACIONAL DE CONTROL DEL GAS NATURAL (CENAGAS), ENVIA LA INVITACIÓN PARA PARTICIPAR EN LA CONSULTA PÚBLICA 2026, EN EL QUE SE CELEBRARÁ UN FORO CONSULTIVO, MESAS DE TRABAJO Y TALLERES. DEL 01 DE JUNIO AL 31 DE JULIO </t>
  </si>
  <si>
    <t xml:space="preserve">OFICIO Y/O ACCIÓN DE RESPUESTA  </t>
  </si>
  <si>
    <t>55 5018 5400</t>
  </si>
  <si>
    <t>117.DGISCPOS.2311/2026</t>
  </si>
  <si>
    <t>LA DIRECCIÓN GENERAL DE IMPACTO SOCIAL, CONSULTA PREVIA Y OCUPACIÓN SUPERFICIAL DE LA SENER, INVITA A PARTICIPAR EN LA 1ER. SESIÓN DE FASE INFORMATIVA PARA EL DESARROLLO DE LA CENTRAL  FOTOVOLTAICA "FV TECOZAUTLA"</t>
  </si>
  <si>
    <t xml:space="preserve">LA DIRECCIÓN GENERAL DE IMPACTO SOCIAL, CONSULTA PREVIA Y OCUPACIÓN SUPERFICIAL DE LA SENER, INVITA A PARTICIPAR EN LA 1ER. SESIÓN DE LA FASE DE ACUERDOS PREVIOS DEL COMITÉ TÉCNICO ASESOR PARA EL DESARROLLO DE LA CENTRAL FOTOVOLTAICA DENOMINADA "FV TECOZAUTLA", EL DÍA 26 DE ABRIL </t>
  </si>
  <si>
    <t xml:space="preserve">LA DIRECCIÓN GENERAL DE IMPACTO SOCIAL, CONSULTA PREVIA Y OCUPACIÓN SUPERFICIAL DE LA SENER, INVITA A PARTICIPAR EN LA SESIÓN DE INSTALACIÓN DEL COMITÉ TECNICO ASESOR PARA EL DESARROLLO DE LA CENTRAL FOTOVOLTAICA DENOMINADA "FV TECOZAUTLA",EL DÍA 24 DE ABRIL A LAS 11:00 HORAS, EN EL MUNICIPIO DE TECOZAUTLA </t>
  </si>
  <si>
    <t>LA DIRECCIÓN GENERAL DE IMPACTO SOCIAL, CONSULTA PREVIA Y OCUPACIÓN SUPERFICIAL DE LA SENER, INVITA A PARTICIPAR EN LA 1ER. SESIÓN DE FASE INFORMATIVA Y 2DA. FASE ED ACUERDOS PREVIOS PARA EL DESARROLLO DE LA CENTRAL FOTOVOLTAICA "FV TECOZAUTLA".
10 DE MAYO EN LA LOCALIDAD DEL MERCADER.
17 DE MAYO EN LA LOCALIDAD DE LA PRESA.</t>
  </si>
  <si>
    <t xml:space="preserve">ARQ. ORLANDO ASISTE A LA SESIÓN DEL 10 DE MAYO, SE ELABORA REPORTE DE ACTIVIDADES Y SE ANEXA COPIA DE LA ACTA DE REUNIÓN 
ARQ. ORLANDO Y ARQ. DIEGO ASISTEN A LA SESIÓN DEL 17 DE MAYO, SE ELABORA REPORTE DE ACTIVIDADES Y SE ANEXA COPIA DE LA ACTA DE REUNIÓN </t>
  </si>
  <si>
    <t>LA DIRECCIÓN GENERAL DE IMPACTO SOCIAL, CONSULTA PREVIA Y OCUPACIÓN SUPERFICIAL DE LA SENER,INVITA A PARTICIPAR EN LA SEGUNDA SESIÓN DE FASES DE ACUERDOS PREVIOS PARA EL DESARROLLO DE LA CENTRAL  FOTOVOLTAICA "FV TECOZAUTLA", EL DÍA 24 DE MAYO EN LAS LOCALIDADES DE MAGUEY VERDE Y EL MERCADER.</t>
  </si>
  <si>
    <t>ARQ. ORLANDO E ING. FRANCISCO, ASISTEN A LA SESIÓN, SE ELABORA REPORTE DE ACTIVIDADES Y SE ANEXA COPIA DE LA ACTA DE REUNIÓN.</t>
  </si>
  <si>
    <t>REPRESENTANTES DE 80 HECTAREAS DEL MUNICIPIO DE APAN, SOLICITAN LA INCORPORACIÓN A CARTERA DE PROYECTOS, BUSCANDO DIFUSIÓN ESTRATEGICA.</t>
  </si>
  <si>
    <t>SEDECO/CGI/TI/0626/2026</t>
  </si>
  <si>
    <t>OPINIÓN TÉCNICO - JURÍDICA SOBRE LA PROCEDENCIA DE CONSULTA ÍNDIGENA RESPECTO DE LOS PROYECTOS FOTOVOLTAICOS "SATURNO SOLAR", "AKUWA SOLAR", "DELFIN SOLAR"</t>
  </si>
  <si>
    <t>CAAySSPPEEH/DL/0491/2026</t>
  </si>
  <si>
    <t>COMITÉ DE ADQUISICIONES, ARRENDAMIENTOS Y SERVICIOS DEL SECTOR PÚBLICO DEL ESTADO DE HIDALGO, SOLICITA DESIGNAR A UN REPRESENTANTE PARA PARTICIPAR EN EL PROCEDIMIENTO DE LICITACIÓN.</t>
  </si>
  <si>
    <t>AEEH/DG/468/2026, DE FECHA 26/05/2026, ENVIADO AL COMITÉ DE ADQUISICIONES, ARRENDAMIENTOS Y SERVICIOS DEL SECTOR PÚBLICO DEL ESTADO DE HIDALGO, MEDIANTE CORREO ELECTRONICO DEL ARQ. ORLANDO MARTÍNEZ</t>
  </si>
  <si>
    <t>SEDECO/CGI/0189/20236</t>
  </si>
  <si>
    <t xml:space="preserve">COORDINACIÓN DE GESTIÓN INSTITUCIONAL DE SEDECO, REMITE INVITACIÓN PARA PARTICIPAR EN REUNIÓN DE TRABAJO EL 03 DE JUNIO, CON LA FINALIDAD DE ALINEAR LOS PROCESOS DE ATENCIÓN CON LA DIRECCIÓN DE ATENCIÓN AL PUEBLO </t>
  </si>
  <si>
    <t xml:space="preserve">LIC. ARELI ASISTE A LA REUNIÓN EN REPRESENTACIÓN DEL ENLACE ARQ. ORLANDO MARTÍNEZ. SE ELABORA REPORTE DE ACTIVIDADES </t>
  </si>
  <si>
    <t>INVITACIÓN PARA PARTICIPAR EN LA LXVI SESIÓN ORDINARIA DEL CONSEJO DE VINCULACIÓN DEL INSTITUTO TECNOLOGICO SUPERIOR DE HUICHAPAN (ITESHU) EL MIERCOLES 03 DE JUNIO</t>
  </si>
  <si>
    <t xml:space="preserve">ARQ. ORLANDO E ING. FRANCISCO CALLEJAS SE CONECTAN A LA SESIÓN, SE ELABORA REPORTE DE ACTIVIDADES </t>
  </si>
  <si>
    <t>447</t>
  </si>
  <si>
    <t>ATENDER A GERARDO VALDIVIA GARCÍA, QUIEN SOLICITA APOYO PARA EL CAMBIO DEL TRANSFORMADOR EN LA CALLE JOSE MARTÍ YA QUE EL VOLTAJE ES INADECUADA PARA LAS NECESIDADES DE LOS POBLADORES)</t>
  </si>
  <si>
    <t>448</t>
  </si>
  <si>
    <t>SEDECO/CGI/TI/0671/2026
SDPEE/DGAP/3367/2026</t>
  </si>
  <si>
    <t>SDE-UC-00831-26</t>
  </si>
  <si>
    <t xml:space="preserve">ATENDER A JUANA ÁVILES BRAVO, QUIEN SOLICITA APOYO CON LA REHABILITACIÓN DE ALUMBRADO PÚBLICO EN CALLES DE SU LOCALIDAD </t>
  </si>
  <si>
    <t xml:space="preserve">EL BONDHO </t>
  </si>
  <si>
    <t>SDE-UC-00832-26</t>
  </si>
  <si>
    <t>449</t>
  </si>
  <si>
    <t>SEDECO/CGI/TI/0672/2026
SDPEE/DGAP/3374/2026</t>
  </si>
  <si>
    <t>MANGAS</t>
  </si>
  <si>
    <t>ATENDER A CECILIO MOTA QUIJANO, QUIEN SOLICITA 50 LUMINARIAS DE ALUMBRADO PÚBLICO DE 100 W.</t>
  </si>
  <si>
    <t>450</t>
  </si>
  <si>
    <t>SEDECO/CGI/TI/0673/2026
SDPEE/DGAP/3387/2026</t>
  </si>
  <si>
    <t>SDE-UC-00857-26</t>
  </si>
  <si>
    <t>05 DE FEBRERO</t>
  </si>
  <si>
    <t xml:space="preserve">ATENDER A ANTONIO ORTÍZ ALVARADO, QUIEN SOLICITA LAMPARAS PARA LA PLAZA CIVICA DE SU MUNICIPIO </t>
  </si>
  <si>
    <t>451</t>
  </si>
  <si>
    <t>SEDECO/CGI/TI/0674/2026
SDPEE/DGAP/3386/2026</t>
  </si>
  <si>
    <t>SDE-UC-00856-26</t>
  </si>
  <si>
    <t xml:space="preserve">ATENDER A LOURDES PAOLA OMAÑA QUIJANO, QUIEN SOLICITA LA INSTALACIÓN Y REHABILITACIÓN DE ALUMBRADO PÚBLICO EN ACCESOS PRINCIPALES DE LA LOCALIDAD  </t>
  </si>
  <si>
    <t>455</t>
  </si>
  <si>
    <t>SEDECO/CGI/TI/0680/2026
SDPEE/DGAP/3449/2026</t>
  </si>
  <si>
    <t>SDE-UC-00860-26</t>
  </si>
  <si>
    <t xml:space="preserve">ATENDER A MATEO ÁNGELES FALCÓN, DE LA ASOCIACIÓN DE CAMPESINOS DE BOMBEO Y REBOMBEO DEL CERRO XICUCO, QUIEN SOLICITA LA REESTRUCTURACIÓN DE LA SUBESTACIÓN ELECTRICA </t>
  </si>
  <si>
    <t>457</t>
  </si>
  <si>
    <t>SEDECO/CGI/TI/0686/2026
SDPEE/DGAP/3546/2026</t>
  </si>
  <si>
    <t>SDE-UC-00877-26</t>
  </si>
  <si>
    <t xml:space="preserve">LAGUNA DEL CERRITO </t>
  </si>
  <si>
    <t>ATENDER A MARÍA ELENA BLANCAS VERA, QUIEN SOLICITA ALUMBRADO PÚBLICO EN SU LOCALIDAD</t>
  </si>
  <si>
    <t>458</t>
  </si>
  <si>
    <t>SDE-UC-00876-26</t>
  </si>
  <si>
    <t>SEDECO/CGI/TI/0687/2026
SDPEE/DGAP/3548/2026</t>
  </si>
  <si>
    <t xml:space="preserve">HUAJOMULCO </t>
  </si>
  <si>
    <t xml:space="preserve">ATENDER A VERONICA VIAREL CRUZ RENDON, QUIEN SOLICITA ALUMBRADO PÚBLICO EN CALLES DE SU LOCALIDAD </t>
  </si>
  <si>
    <t>459</t>
  </si>
  <si>
    <t>SEDECO/CGI/TI/0688/2026
SDPEE/DGAP/3550/2026</t>
  </si>
  <si>
    <t xml:space="preserve">ATENDER A MARCELINA LEONOR MOTA MARTÍNEZ, QUIEN SOLICITA MEDIACIÓN CON CFE YA QUE EL TRANSFORMADOR DE SU LOCALIDAD NO PROPORCIONA EL VOLTAJE SUFICIENTE PARA LAS NECESIDADES DE LOS CIUDADANOS. </t>
  </si>
  <si>
    <t>460</t>
  </si>
  <si>
    <t>SDE-UC-00878-26</t>
  </si>
  <si>
    <t>SEDECO/CGI/TI/0689/2026
SDPEE/DGAP/3571/2026</t>
  </si>
  <si>
    <t>XOCHITLÁN</t>
  </si>
  <si>
    <t xml:space="preserve">ATENDER A NORBERTO CANO RESENDIZ, QUIEN SOLICITA LA DONACIÓN DE UN SISTEMA SOLAR FOTOVOLTAICO PARA ABASTECER LAS NECESIDADES DE SU INVERNADERO </t>
  </si>
  <si>
    <t>467</t>
  </si>
  <si>
    <t xml:space="preserve">MAGUEY VERDE </t>
  </si>
  <si>
    <t xml:space="preserve">ATENDER A RIGOBERTO CABALLERO CRISTINO, QUIEN SOLICITA INTERVENCIÓN ANTE CFE PARA LA PODA DE ARBOLES </t>
  </si>
  <si>
    <t>482</t>
  </si>
  <si>
    <t>UPLAPH/DESP/1032/2026</t>
  </si>
  <si>
    <t xml:space="preserve">LA COMISIÓN DE MEJORA REGULATORIA INVITA A LA AEEH A PARTICIPAR EN LA ORIENTACIÓN PERSONALIZADA PARA LA ELABORACIÓN DE LA AGENDA REGULATORIA Y LA AGENDA DE SIMPLIFICACIÓN Y DIGITALIZACIÓN EL DÍA 08 DE JUNIO, EN MODALIDAD VIRTUAL </t>
  </si>
  <si>
    <t xml:space="preserve">LIC. ARELI E ING.  FRANCISCO VILLALPA, SE CONECTAN A LA REUNIÓN. SE ELABORA REPORTE DE ACTIVIDADES </t>
  </si>
  <si>
    <t>470</t>
  </si>
  <si>
    <t>SILVIA BAUTISTA BAUTISTA, SOLICITA INSTALACIÓN DE PANELES SOLARES PARA ABASTECER ENERGÍA A SU NEGOCIO, YA QUE SUFRE DE APAGONES QUE DAÑAN SUS PRODUCTOS.</t>
  </si>
  <si>
    <t>471</t>
  </si>
  <si>
    <t>SEDECO/CGI/TI/0696/2026
SDPEE/DGAP/3611/2026</t>
  </si>
  <si>
    <t>SDE-UC-00914-26</t>
  </si>
  <si>
    <t xml:space="preserve">ATENDER A CARMELO HERNÁNDEZ ZENIL DEL COMITÉ DE PRODUCTORES UNIDOS AGROPECUARIOS, QUIEN SOLICITA EL CAMBIO DE UN TRANSFORMADOR </t>
  </si>
  <si>
    <t>472</t>
  </si>
  <si>
    <t>SEDECO/CGI/TI/0697/2026
SDPEE/DGAP/3640/2026</t>
  </si>
  <si>
    <t>SDE-UC-00916-26</t>
  </si>
  <si>
    <t>484</t>
  </si>
  <si>
    <t>SEDECO/CGI/TI/0719/2026
SDPEE/DGAP/3723/2026</t>
  </si>
  <si>
    <t>SDE-UC-00934-26</t>
  </si>
  <si>
    <t>ATENDER A ÁNGEL MEJÍA MARTÍNEZ, QUIEN SOLICITA ENERGÍA ELECTRICA EN LA CALLE LA PALMA, INTERSECCIÓN AV. UNIVERSIDAD UBBJG</t>
  </si>
  <si>
    <t xml:space="preserve">ATENDER A CARLOS ALBERTO ÁNGELES PÉREZ, QUIEN SOLICITA MEJORAR EL ALUMBRADO PÚBLICO EN DIVERSAS CALLES DE SU LOCALIDAD  </t>
  </si>
  <si>
    <t>485</t>
  </si>
  <si>
    <t>SEDECO/CGI/TI/0721/2026
SDPEE/DGAP/3686/2026</t>
  </si>
  <si>
    <t>SDE-UC-00935-26</t>
  </si>
  <si>
    <t>ATENDER A OFELIA MONROY ORTÍZ, QUIEN SOLICITA POSTE DE LUZ Y ALUMBRADO PÚBLICO EN CALLES DE SU LOCALIDAD</t>
  </si>
  <si>
    <t>486</t>
  </si>
  <si>
    <t>SEDECO/CGI/TI/0722/2026
SDPEE/DGAP/3693/2026</t>
  </si>
  <si>
    <t>SDE-UC-00936-26</t>
  </si>
  <si>
    <t xml:space="preserve">ATENDER A MARÍA ELENA MERA AGUILAR, QUIEN SOLICITA LA ELECTRIFICACIÓN EN SU COLONIA </t>
  </si>
  <si>
    <t>COL. CUAUHTÉMOC</t>
  </si>
  <si>
    <t>487</t>
  </si>
  <si>
    <t>488</t>
  </si>
  <si>
    <t>489</t>
  </si>
  <si>
    <t>SDE-UC-00943-26</t>
  </si>
  <si>
    <t>SEDECO/CGI/TI/0723/2026
SDPEE/DGAP/3734/2026</t>
  </si>
  <si>
    <t>ATENDER A ZAIRA MAGALLI VIDAL MARTINEZ, QUIEN SOLICITA INSTALACIÓN, REHABILITACIÓN Y MANTENIMIENTO DEL ALUMBRADO PÚBLICO DE SU LOCALIDAD</t>
  </si>
  <si>
    <t>SDE-UC-00942-26</t>
  </si>
  <si>
    <t>SEDECO/CGI/TI/0724/2026
SDPEE/DGAP/3755/2026</t>
  </si>
  <si>
    <t>ATENDER A CASIMIRO MARTÍN SAN JUAN, QUIEN SOLICITA APOYO PARA LA AMPLIACIÓN DE RED ELECTRICA EN 5 KM DE LAS CALLES DE SU LOCALIDAD.</t>
  </si>
  <si>
    <t>SDE-UC-00933-26</t>
  </si>
  <si>
    <t>SEDECO/CGI/TI/0720/2026
SDPEE/DGAP/3675/2026</t>
  </si>
  <si>
    <t>ATENDER A CLEMENTE COPCA ROJAS DEL CENTRO VACACIONAL AJACUBA, QUIEN SOLICITA LAMPARAS PARA CALLES PRINCIPALES DE SU MUNICIPIO.</t>
  </si>
  <si>
    <t>SDE-AEEH-00391-26</t>
  </si>
  <si>
    <t>SE ENVIA OFICIO A CFE</t>
  </si>
  <si>
    <t xml:space="preserve">AEEH/DG/505/2026, DE FECHA 05/06/2026, ENVIADO AL ING. ALEJANDRO YUSULMAN HERNÁNDEZ LEAL, SUPERINTENDENTE DE CFE DISTRIBUCIÓN ZONA IXMIQUILPAN </t>
  </si>
  <si>
    <t xml:space="preserve">AEEH-2*1S.4/09-2026
DIRECCIÓN GENERAL DE EFICENCIA Y SUSTENTABILIDAD ENERGÉTICA - SECRETARÍA DE ENERGÍA </t>
  </si>
  <si>
    <t>SDE-UC-00830-26
SDE-UC-00880-26</t>
  </si>
  <si>
    <t>SDE-UC-00880-26
SDE-UC-00830-26</t>
  </si>
  <si>
    <t xml:space="preserve">AEEH/DG/541/2026, DE FECHA 16/06/2026, ENVIADO AL ING. OCTAVIO GÓMEZ PAULIN, COORDINADOR DE GESTIÓN INSTITUCIONAL </t>
  </si>
  <si>
    <t xml:space="preserve">AEEH/DG/543/2026, DE FECHA 16/06/2026, ENVIADO AL ING. OCTAVIO GÓMEZ PAULIN, COORDINADOR DE GESTIÓN INSTITUCIONAL </t>
  </si>
  <si>
    <t xml:space="preserve">AEEH/DG/544/2026, DE FECHA 16/06/2026, ENVIADO AL ING. OCTAVIO GÓMEZ PAULIN, COORDINADOR DE GESTIÓN INSTITUCIONAL </t>
  </si>
  <si>
    <t xml:space="preserve">AEEH/DG/546/2026, DE FECHA 16/06/2026, ENVIADO AL ING. OCTAVIO GÓMEZ PAULIN, COORDINADOR DE GESTIÓN INSTITUCIONAL </t>
  </si>
  <si>
    <t xml:space="preserve">AEEH/DG/547/2026, DE FECHA 16/06/2026, ENVIADO AL ING. OCTAVIO GÓMEZ PAULIN, COORDINADOR DE GESTIÓN INSTITUCIONAL </t>
  </si>
  <si>
    <t xml:space="preserve">AEEH/DG/548/2026, DE FECHA 16/06/2026, ENVIADO AL ING. OCTAVIO GÓMEZ PAULIN, COORDINADOR DE GESTIÓN INSTITUCIONAL </t>
  </si>
  <si>
    <t>492</t>
  </si>
  <si>
    <t>SEMARNATH/DESP/SSyCC/DGCC/000291/2026</t>
  </si>
  <si>
    <t xml:space="preserve">INVITACIÓN A PARTICIPAR EN REUNIÓN VIRTUAL EL JUEVES 18 DE JUNIO A LAS 12 PM, PARA REVISAR LAS MEDIDAS DEL PROGRAMA ESTATAL DE ACCCIÓN ANTE EL CAMBIO CLIMÁTICO DEL ESTADO DE HIDALGO  </t>
  </si>
  <si>
    <t xml:space="preserve">SE ENVIA CORREO ELECTRÓNICO A LA DIRECCIÓN GENERAL DE CAMBIO CLIMÁTICO SEMARNATH, INFORMANDO QUE ARQ. DIEGO SE CONECTA A LA REUNIÓN.
ARQ. DIEGO ELABORA REPORTE DE ACTIVIDADES  </t>
  </si>
  <si>
    <t>771 107 1304
771 714 1056</t>
  </si>
  <si>
    <t>493</t>
  </si>
  <si>
    <t>STFOTEASE.213.191.2026</t>
  </si>
  <si>
    <t xml:space="preserve">RESPUESTA A OFICIO AEEH/DG/960/2025, SE INFORMA LA RESPUESTA NEGATIVA AL PROYECTO "EFICIENCIA ENERGÉTICA Y GENERACIÓN DISTRIBUIDA EN SISTEMA DE AGUA PORTABLE DE LA COMUNIDAD DE LA LAGUNITA, IXMIQUILPAN".  </t>
  </si>
  <si>
    <t xml:space="preserve">ING. FRANCISCO
ING. SANDRA
</t>
  </si>
  <si>
    <t>494</t>
  </si>
  <si>
    <t>DGESE/212/026/2026</t>
  </si>
  <si>
    <t xml:space="preserve">LA DIRECCIÓN GENERAL DE EFICIENCIA Y SUSTENTABILIDAD ENERGÉTICA DE LA SENER, ENVIA INVITACIÓN A LA 3ERA. REUNIÓN DE COORDINACIÓN 2026, EL DÍA MARTES 16 A LAS 11 AM. </t>
  </si>
  <si>
    <t xml:space="preserve">ARQ. ORLANDO E ING. SANDRA SE CONECTAN A LA REUNIÓN, SE ELABORA REPORTE DE ACTIVIDADES </t>
  </si>
  <si>
    <t>55 5000 6000</t>
  </si>
  <si>
    <t>495</t>
  </si>
  <si>
    <t>117.DGISCPOS.2696/2026</t>
  </si>
  <si>
    <t xml:space="preserve">LA DIRECCIÓN GENERAL DE IMPACTO SOCIAL, CONSULTA PREVIA Y OCUPACIÓN SUPERFICIAL DE LA SENER,INVITA A PARTICIPAR EN LAS SESIONES DE LA CONSULTA PREVIA, LIBRE E INFORMADA PREVIA PARA EL DESARROLLO DE LA CENTRAL  FOTOVOLTAICA "FV TECOZAUTLA", LOS DIAS 14 Y 21 DE MAYO </t>
  </si>
  <si>
    <t xml:space="preserve">ARQ. ORLANDO Y ARQ. DIEGO ASISTEN A LA SESIÓN DEL 14 DE JUNIO, SE ELABORA REPORTE DE ACTIVIDADES.
LA SESIÓN PROGRAMADA PARA EL 21 DE JUNIO, SE CANCELA VIA CORREO ELECTRÓNICO. </t>
  </si>
  <si>
    <t>496</t>
  </si>
  <si>
    <t>SDE-UC-00983-26</t>
  </si>
  <si>
    <t>SEDECO/CGI/TI/0742/2026
SDPEE/DGAP/3865/2026</t>
  </si>
  <si>
    <t xml:space="preserve">ATENDER A LA C. CRISTINA DOMINGUEZ FRAGOSO, QUIEN SOLICITA LA INSTALACIÓN DE UN NUEVO TRANSFORMADOR   </t>
  </si>
  <si>
    <t>771 227 8847</t>
  </si>
  <si>
    <t>SEDECO/CGI/TI/0758/2026
SDPEE/DGAP/3882/2026</t>
  </si>
  <si>
    <t xml:space="preserve">COL. ROJO GÓMEZ </t>
  </si>
  <si>
    <t xml:space="preserve">SAN MIGUEL FERRERÍA  </t>
  </si>
  <si>
    <t xml:space="preserve">55 45 33 81 78 </t>
  </si>
  <si>
    <t>ATENDER AL C. ROGELIO MORALES HERNÁNDEZ, QUIEN SOLICITA MEDIACIÓN CON CFE PARA LA REUBICACIÓN DE UN POSTE DE SU LOCALIDAD.</t>
  </si>
  <si>
    <t>SDE-UC-01014-26</t>
  </si>
  <si>
    <t>510</t>
  </si>
  <si>
    <t>511</t>
  </si>
  <si>
    <t>512</t>
  </si>
  <si>
    <t>513</t>
  </si>
  <si>
    <t>514</t>
  </si>
  <si>
    <t>516</t>
  </si>
  <si>
    <t>515</t>
  </si>
  <si>
    <t>SEDECO/CGI/TI/0759/2026
SDPEE/DGAP/3883/2026</t>
  </si>
  <si>
    <t xml:space="preserve">ATENDER AL C. ROGELIO MORALES HERNÁNDEZ, QUIEN SOLICITA MEDIACIÓN CON CFE PARA LA REHABILITACIÓN DE ALUMBRADO PÚBLICO. </t>
  </si>
  <si>
    <t>SDE-UC-00993-26</t>
  </si>
  <si>
    <t>SEDECO/CGI/TI/0760/2026
SDPEE/DGAP/3962/2026</t>
  </si>
  <si>
    <t xml:space="preserve">CAPULA </t>
  </si>
  <si>
    <t>ATENDER A MARÍA CRISTINA PÉREZ HERNÁNDEZ, QUIEN SOLICITA MEDIACIÓN CON CFE, ANTE MULTA IMPUESTA POR CANCELACIÓN DE SERVICIO.</t>
  </si>
  <si>
    <t>SDE-UC-01018-26</t>
  </si>
  <si>
    <t>771 760 3516</t>
  </si>
  <si>
    <t>SEDECO/CGI/TI/0762/2026
SDPEE/DGAP/3991/2026</t>
  </si>
  <si>
    <t xml:space="preserve">ATENDER A RICARDO GRANADOS MEDINA, QUIEN SOLICITA APOYO PARA INSTALACIÓN DE ALUMBRADO PÚBLICO EN SU FRACCIONMIENTO </t>
  </si>
  <si>
    <t>PRADERAS DE VIRREYES</t>
  </si>
  <si>
    <t>SDE-UC-01017-26</t>
  </si>
  <si>
    <t>55 45 90 0874</t>
  </si>
  <si>
    <t>SEDECO/CGI/TI/0763/2026
SDPEE/DGAP/3993/2026</t>
  </si>
  <si>
    <t xml:space="preserve">ATENDER A JOSE SIERRA CASTELÁN, QUIEN SOLICITA LA AMPLIACIÓN DE RED ELECTRICA EN SU COMUNIDAD </t>
  </si>
  <si>
    <t> SDE-UC-01019-26</t>
  </si>
  <si>
    <t xml:space="preserve">COL. LOS ROMEROS </t>
  </si>
  <si>
    <t>55 12 44 77 85</t>
  </si>
  <si>
    <t>SEDECO/CGI/TI/0764/2026
SDPEE/DGAP/3998/2026</t>
  </si>
  <si>
    <t xml:space="preserve">SAN FRANCISCO HUATENGO </t>
  </si>
  <si>
    <t>SDE-UC-01020-26</t>
  </si>
  <si>
    <t xml:space="preserve">ATENDER A LA C. EVA JAZMIN GONZÁLEZ GONZÁLEZ, QUIEN SOLICITA EL SERVICIO DE ENERGÍA ELÉCTRICA PARA 30 VIVIENDAS DE SU LOCALIDAD  </t>
  </si>
  <si>
    <t>775 235 8855</t>
  </si>
  <si>
    <t>SEDECO/CGI/TI/0765/2026
SDPEE/DGAP/4000/2026</t>
  </si>
  <si>
    <t xml:space="preserve">TEPANTITLA </t>
  </si>
  <si>
    <t xml:space="preserve">ATENDER A LA C. MARÍA DEL CARMEN RIVERA MARTÍNEZ, QUIEN SOLICITA LA AMPLIACIÓN DE RED DE ENERGÍA ELECTRICA EN SU LOCALIDAD </t>
  </si>
  <si>
    <t>SDE-UC-01021-26</t>
  </si>
  <si>
    <t>775 141 6197</t>
  </si>
  <si>
    <t>SEDECO/CGI/TI/0761/2026
SDPEE/DGAP/3937/2026</t>
  </si>
  <si>
    <t>ALTEPEMILA</t>
  </si>
  <si>
    <t xml:space="preserve">ATENDER A FIDENCIA SIERRA PEREZ, QUIEN SOLICITA LA INTRODUCCIÓN DEL SERVICIO DE ENERGÍA ELÉCTRICA </t>
  </si>
  <si>
    <t>SDE-UC-01016-26</t>
  </si>
  <si>
    <t>775 260 0224</t>
  </si>
  <si>
    <t xml:space="preserve">AEEH/DG/558/2026, DE FECHA 22/06/2026, ENVIADO AL ING. OCTAVIO GÓMEZ PAULIN, COORDINADOR DE GESTIÓN INSTITUCIONAL </t>
  </si>
  <si>
    <t xml:space="preserve">AEEH/DG/559/2026, DE FECHA 22/06/2026, ENVIADO AL ING. OCTAVIO GÓMEZ PAULIN, COORDINADOR DE GESTIÓN INSTITUCIONAL </t>
  </si>
  <si>
    <t xml:space="preserve">AEEH/DG/560/2026, DE FECHA 22/06/2026, ENVIADO AL ING. OCTAVIO GÓMEZ PAULIN, COORDINADOR DE GESTIÓN INSTITUCIONAL </t>
  </si>
  <si>
    <t xml:space="preserve">AEEH/DG/561/2026, DE FECHA 22/06/2026, ENVIADO AL ING. OCTAVIO GÓMEZ PAULIN, COORDINADOR DE GESTIÓN INSTITUCIONAL </t>
  </si>
  <si>
    <t xml:space="preserve">AEEH/DG/562/2026, DE FECHA 22/06/2026, ENVIADO AL ING. OCTAVIO GÓMEZ PAULIN, COORDINADOR DE GESTIÓN INSTITUCIONAL </t>
  </si>
  <si>
    <t xml:space="preserve">AEEH/DG/563/2026, DE FECHA 22/06/2026, ENVIADO AL ING. OCTAVIO GÓMEZ PAULIN, COORDINADOR DE GESTIÓN INSTITUCIONAL </t>
  </si>
  <si>
    <t xml:space="preserve">AEEH/DG/564/2026, DE FECHA 22/06/2026, ENVIADO AL ING. OCTAVIO GÓMEZ PAULIN, COORDINADOR DE GESTIÓN INSTITUCIONAL </t>
  </si>
  <si>
    <t xml:space="preserve">AEEH/DG/565/2026, DE FECHA 22/06/2026, ENVIADO AL ING. OCTAVIO GÓMEZ PAULIN, COORDINADOR DE GESTIÓN INSTITUCIONAL </t>
  </si>
  <si>
    <t xml:space="preserve">AEEH-2*1S.4/10-2026
CONSULTA PÚBLICA 2026 - CENAGAS </t>
  </si>
  <si>
    <t>520</t>
  </si>
  <si>
    <t>521</t>
  </si>
  <si>
    <t>522</t>
  </si>
  <si>
    <t>SDE-UC-01057-26</t>
  </si>
  <si>
    <t>SEDECO/CGI/TI/0792/2026
SDPEE/DGAP/4139/2026</t>
  </si>
  <si>
    <t xml:space="preserve">EL ENCINO </t>
  </si>
  <si>
    <t xml:space="preserve">ATENDER A DIEGO GÓMEZ PÉREZ, QUIEN SOLICITA LA INTERVENCIÓN CON CFE PARA GESTIONAR EL CAMBIO DE UN TRANSFORMADOR Y MEJORAR EL VOLTAJE DE SU LOCALIDAD </t>
  </si>
  <si>
    <t>SEDECO/CGI/TI/0793/2026
SDPEE/DGAP/4158/2026</t>
  </si>
  <si>
    <t xml:space="preserve">ATENDER A VICENTE PÉREZ BAUTISTA DEL COMITÉ DE ADMINISTRACIÓN DE LA UNIDAD DE RIEGO DEL EJIDO DE SANTA MONICA, QUIEN SOLICITA APOYO ECONÓMICO CON EL COSTEO DE UN PROYECTO DE ELECTRIFICACIÓN.  </t>
  </si>
  <si>
    <t>SDE-UC-01061-26</t>
  </si>
  <si>
    <t>SDE-UC-01066-26</t>
  </si>
  <si>
    <t>SEDECO/CGI/TI/0794/2026
SDPEE/DGAP/4173/2026</t>
  </si>
  <si>
    <t xml:space="preserve">EL JAGUEY </t>
  </si>
  <si>
    <t>ATENDER A SERAFÍN MIRANDA CRUZ, QUIEN SOLICITA LA INSTALACIÓN DE LUMINARIAS SOBRE EL CAMELLÓN DE LA ENTRADA DE SU LOCALIDAD</t>
  </si>
  <si>
    <t xml:space="preserve">AEEH/DG/456/2026, DE FECHA 20/05/2026, ENVIADO AL ING. OCTAVIO GÓMEZ PAULIN, COORDINADOR DE GESTIÓN INSTITUCIONAL  
AEEH/DPIE/044/2026, DE FECHA 28/05/2026, EVNIADO AL ING. FRANCISCO CALLEJAS PEREZ, DIRECTOR DE PROMOCIÓN Y PLANEACIÓN </t>
  </si>
  <si>
    <t xml:space="preserve">AEEH/DG/572/2026, DE FECHA 23/06/2026, ENVIADO AL ING. OCTAVIO GÓMEZ PAULIN, COORDINADOR DE GESTIÓN INSTITUCIONAL </t>
  </si>
  <si>
    <t>523</t>
  </si>
  <si>
    <t>530</t>
  </si>
  <si>
    <t>SEDECO/CGI/TI/0796/2026
SDPEE/DGAP/4130/2026</t>
  </si>
  <si>
    <t xml:space="preserve">SECCIÓN NORTE </t>
  </si>
  <si>
    <t>ATENDER A EFRAÍN ACOSTA HERNÁNDEZ, QUIEN SOLICITA LA AMPLIACIÓN DE ENERGÍA ELECTRICA EN CALES DE SU LOCALIDAD (ALUMBRADO PÚBLICO)</t>
  </si>
  <si>
    <t>SDE-UC-01056-26</t>
  </si>
  <si>
    <t>SEDECO/CGI/TI/0798/2026
SDPEE/DGAP/4286/2026</t>
  </si>
  <si>
    <t xml:space="preserve">POZUELOS </t>
  </si>
  <si>
    <t>ATENDER A BONIFACIO MENDIETA DE LA CRUZ, QUIEN SOLICITA LA DONACIÓN DE PANELES SOLARES  PARA ABASTECER EL POZO DE AGUA DE SU LOCALIDAD.</t>
  </si>
  <si>
    <t>SDE-UC-01086-26</t>
  </si>
  <si>
    <t>SE ENVIA TARJETA INFORMATIVA DE FECHA 22/06/2026, AL ING. OCTAVIO GÓMEZ PAULIN, COORDINADOR DE GESTIÓN INSTITUCIONAL.  
AEEH/DG/434/2026, DE FECHA 26/06/2026, ENVIADO AL ING. OCTAVIO GOMEZ PAULIN. COORDINADOR DE GESTIÓN INSTITUCIONAL</t>
  </si>
  <si>
    <t>531</t>
  </si>
  <si>
    <t>SEDECO/CGI/TI/0815/2026
SDPEE/DGAP/4440/2026</t>
  </si>
  <si>
    <t xml:space="preserve">ATENDER A ALEJADRO BAUTISTA PÉREZ, QUIEN SOLICITA ALUMBRADO PÚBLICO PARA SU COMUNIDAD </t>
  </si>
  <si>
    <t>SDE-UC-01105-26</t>
  </si>
  <si>
    <t xml:space="preserve">SAUCILLO </t>
  </si>
  <si>
    <t>532</t>
  </si>
  <si>
    <t>SEDECO/CGI/TI/0810/2026
SDPEE/DGAP/4406/2026</t>
  </si>
  <si>
    <t>ATENDER A SEVERO VALENCIA LÓPEZ, QUIEN SOLICITA LA AMPLIACIÓN DE LUZ ELECTRICA (5 POSTES), DE LA ANTIGUA VIA DEL TREN A LA PLAZA DE TOROS JAGUEY BLANCO.</t>
  </si>
  <si>
    <t>SDE-UC-01106-26</t>
  </si>
  <si>
    <t>BARRIO LA CAPILLA</t>
  </si>
  <si>
    <t>772 189 8523</t>
  </si>
  <si>
    <t>452</t>
  </si>
  <si>
    <t>SEDECO/CGI/TI/0676/2026
SDPEE/DGAP/3399/2026</t>
  </si>
  <si>
    <t xml:space="preserve">ATENDER A FÉLIX LÓPEZ AGUILAR, PRESIDENTE DEL COMITÉ EJIDAL "LOS PAREJES ARCINA", SOLICITA MESA DE TRABAJO POR INVASIÓN DE PARCELAS EJIDALES POR INFRAESTRUCTURA DE CFE. </t>
  </si>
  <si>
    <t>SDE-UC-00858-26</t>
  </si>
  <si>
    <t>536</t>
  </si>
  <si>
    <t>SEDECO/0679/2026</t>
  </si>
  <si>
    <t xml:space="preserve">LA SECRETARÍA DE DESARROLLLO ECONOMICO, ENVÍA UNA COPIA DEL OFICIO TURNADO AL SECRETARIO DE INFRAESTRUCTURA  PÚBLICA Y DESARROLLO URBANO SOSTENIBLE, INFORMA QUE CFE ZONA TULA SOLICITA APOYO PARA CONCRETAR LA CONSTITUCIÓN DE UNA SERVIDUMBRE DE PASO DE LA LÍNEA DE TRANSMISIÓN EN ALTA TENSIÓN PARA LAS SUBESTACIONES NOCHISTONGO Y CIUDAD BICENTENARIO </t>
  </si>
  <si>
    <t>AEEH/DG/599/2026, DE FECHA 30/06/2026, ENVIADO AL C. JUAN ANTONIO FRANCO ORTÍZ, PRESIDENTE MUNICIPAL DE METEPEC</t>
  </si>
  <si>
    <t xml:space="preserve"> AEEH/DG/590/2026, DE FECHA 30/06/2026, ENVIADO AL ING. OCTAVIO GÓMEZ PAULIN, COORDINADOR DE GESTIÓN INSTITUCIONAL. 
</t>
  </si>
  <si>
    <t xml:space="preserve"> AEEH/DG/591/2026, DE FECHA 30/06/2026, ENVIADO AL ING. OCTAVIO GÓMEZ PAULIN, COORDINADOR DE GESTIÓN INSTITUCIONAL. 
</t>
  </si>
  <si>
    <t xml:space="preserve"> AEEH/DG/592/2026, DE FECHA 30/06/2026, ENVIADO AL ING. OCTAVIO GÓMEZ PAULIN, COORDINADOR DE GESTIÓN INSTITUCIONAL. 
</t>
  </si>
  <si>
    <t xml:space="preserve"> AEEH/DG/593/2026, DE FECHA 30/06/2026, ENVIADO AL ING. OCTAVIO GÓMEZ PAULIN, COORDINADOR DE GESTIÓN INSTITUCIONAL. 
</t>
  </si>
  <si>
    <t xml:space="preserve"> AEEH/DG/594/2026, DE FECHA 30/06/2026, ENVIADO AL ING. OCTAVIO GÓMEZ PAULIN, COORDINADOR DE GESTIÓN INSTITUCIONAL. 
</t>
  </si>
  <si>
    <t xml:space="preserve"> AEEH/DG/595/2026, DE FECHA 30/06/2026, ENVIADO AL ING. OCTAVIO GÓMEZ PAULIN, COORDINADOR DE GESTIÓN INSTITUCIONAL. 
</t>
  </si>
  <si>
    <t xml:space="preserve"> AEEH/DG/596/2026, DE FECHA 30/06/2026, ENVIADO AL ING. OCTAVIO GÓMEZ PAULIN, COORDINADOR DE GESTIÓN INSTITUCIONAL. 
</t>
  </si>
  <si>
    <t xml:space="preserve"> AEEH/DG/597/2026, DE FECHA 30/06/2026, ENVIADO AL ING. OCTAVIO GÓMEZ PAULIN, COORDINADOR DE GESTIÓN INSTITUCIONAL. 
</t>
  </si>
  <si>
    <t>ARQ. DIEGO 
ING. SANDRA</t>
  </si>
  <si>
    <t>540</t>
  </si>
  <si>
    <t>549</t>
  </si>
  <si>
    <t>551</t>
  </si>
  <si>
    <t>SEDECO/CGI/TI/0828/2026
SDPEE/DGAP/4527/2026</t>
  </si>
  <si>
    <t xml:space="preserve">SANDY </t>
  </si>
  <si>
    <t xml:space="preserve">ROCA DE ORO </t>
  </si>
  <si>
    <t xml:space="preserve">ATENDER A MIGUEL ÁNGEL GONZALEZ MENDIOLA, DEL COMITÉ DE LA ROCA DE ORO, QUIEN SOLICITA INTERVENCIÓN CON CFE YA QUE POR TRABAJOS DE TELMEX, SE QUEDARON SIN ENERGÍA ELECTRICA </t>
  </si>
  <si>
    <t>SDE-UC-01150-26</t>
  </si>
  <si>
    <t xml:space="preserve">AEEH/DG/624/2026, DE FECHA 06/07/2026, ENVIADO AL ING. OCTAVIO GOMEZ PAULIN, COORDINADOR DE GESTIÓN INSTITUCIONAL </t>
  </si>
  <si>
    <t>771 216 9457</t>
  </si>
  <si>
    <t>SEDECO/CGI/TI/0838/2026
SDPEE/DGAP/4543/2026</t>
  </si>
  <si>
    <t xml:space="preserve">DIEGO </t>
  </si>
  <si>
    <t xml:space="preserve">ATENDER A MARIA LUISA ENGRACIA ISLAS ISLAS DIRECTORA DEL CENTRO DE ATENCIÓN MÚLTIPLE NO. 28, SOLICITA LA INTERVENCIÓN CON CFE PARA LA COLOCACIÓN DE UN POSTE DE ENERGÍA EN SU COLONIA. </t>
  </si>
  <si>
    <t>SDE-UC-01170-26</t>
  </si>
  <si>
    <t>COL. MARTÍNEZ</t>
  </si>
  <si>
    <t>775 111 7830</t>
  </si>
  <si>
    <t>SEDECO/SIyES/DGES/159/2026</t>
  </si>
  <si>
    <t>LA DIRECCIÓN GENERAL DE ECONOMÍA SECTORIAL, INVITA A PARTICIPAR EN UNA DINÁMICA PARA CONMEMORAR EL DÍA DE LA INTEGRIDAD, DENOMINADA JUSTA MUNDIALISTA "CAMPEONATO POR LA INTEGRIDAD, EL MEJOR GOL QUE PODAMOS ANOTAR"</t>
  </si>
  <si>
    <t>LIC. ARELI 
ING. SANDRA</t>
  </si>
  <si>
    <t xml:space="preserve">LIC. ARELI E INGE SANDRA ASISTEN A LA ACTIVIDAD, PARQUE CULTURAL BEN GURIÓN, 09 DE JULIO A LAS 9:30 AM. </t>
  </si>
  <si>
    <t>DE CONOCIMIENTO (PENDIENTE DE ANALISIS)
SE ELABORA TARJETA INFORMATIVA DE FECHA 10 DE JUNIO 2026</t>
  </si>
  <si>
    <t>564</t>
  </si>
  <si>
    <t>SEDECO/SIyES/100/2026</t>
  </si>
  <si>
    <t>LA SUBSECRETARIA DE INVERSIONES DA RESPUESTA A OFICIO AEEH/DG/570/2026, REMITEN INFORMACIÓN PARA LA CONSULTA PÚBLICA DE CENAGAS</t>
  </si>
  <si>
    <t>565</t>
  </si>
  <si>
    <t>562</t>
  </si>
  <si>
    <t>CENACE/DOPS/354/2026</t>
  </si>
  <si>
    <t>CENACE EMITE INVITACIÓN A PARTICIPAR EN REUNIONES DEL PROCESO DE ELABORACIÓN DEL PRONÓSTICO DE DEMANDA Y CONSUMO DE ENERGÍA ELECTRICA 2027 - 2041</t>
  </si>
  <si>
    <t xml:space="preserve">ARQ. ORLANDO </t>
  </si>
  <si>
    <t>SEMARNAT/DESP/SSyCC/DGCC-000329/2026</t>
  </si>
  <si>
    <t>INVITACIÓN A PARTICIPAR EN LA SEGUNDA SESIÓN ORDINARIA 2026 DEL COMITÉ ESTATAL INTERSECTORIAL DE CAMBIO CLIMÁTICO  EL 09 DE JULIO A LAS 10:00 HORAS EN LAS ISNTALACIONES DE SEMARNATH</t>
  </si>
  <si>
    <t xml:space="preserve">AEEH/DG/589/2026, DE FECHA 03/07/2026, ENVIADO AL ING. OCTAVIO GOMEZ PAULIN, COORDINADOR DE GESTIÓN INSTITUCIONAL 
AEEH/DG/642/2026, DE FECHA 08/07/2026, ENVIADO AL ING. OCTAVIO GOMEZ PAULIN, COORDINADOR DE GESTIÓN INSTITUCIONAL </t>
  </si>
  <si>
    <t xml:space="preserve">AEEH/DG/643/2026, DE FECHA 08/07/2026, ENVIADO A LA LD. IMELDA CUELLAR CANO, PRESIDENTA MUNICIPAL DE ACTOPAN  </t>
  </si>
  <si>
    <t>SDE-AEEH-00406-26</t>
  </si>
  <si>
    <t>555</t>
  </si>
  <si>
    <t>570</t>
  </si>
  <si>
    <t>569</t>
  </si>
  <si>
    <t>571</t>
  </si>
  <si>
    <t>117.DGISCPOS.3075.2026</t>
  </si>
  <si>
    <t xml:space="preserve">EL DIRECTOR GENERAL DE IMPACTO SOCIAL, CONSUTLA, PREVIA Y OCUPACIÓN SUPERFICIAL DE LA SENER, CONVOCA A SESIÓN DE TRABAJO EL 09 DE JULIO A LAS 9:00 HORAS EN LA CABECERA MUNICIPAL DE TECOZAUTLA, PARA ABORDAR TEMAS REFERENTES A LA CENTRAL FOTOVOLTAICA "FV TECOZAUTLA" </t>
  </si>
  <si>
    <t>LA REUNIÓN SE CANCELA POR INDICACIONES DE LA DIRECCIÓN GENERAL DE IMPACTO SOCIAL, CONSULTA, PREVIA Y OCUPACIÓN SUPERFICIAL DE LA SENER.
(NOTIFICADO MEDIANTE CORREO DE FECHA 07/07/2026)</t>
  </si>
  <si>
    <t>SEDECO/CGI/0270/2026</t>
  </si>
  <si>
    <t xml:space="preserve">AEEH-2*1S/08-2025
SOLICITUDES DE LA DIRECCIÓN DE ATENCIÓN AL PUEBLO </t>
  </si>
  <si>
    <t xml:space="preserve">LA COORDINACIÓN DE GESTIÓN INSTITUCIONAL, SOLICITA LA ACTUALIZACIÓN DE LOS PROGRAMAS, SERVICIOS Y CONVOCATORIAS OFERTADAS POR LA AEEH </t>
  </si>
  <si>
    <t>SDE-DVINC-00067-26</t>
  </si>
  <si>
    <t xml:space="preserve">AEEH/DPIE/059/2026, DE FECHA 07/07/2026, ENVIADO AL ING. FRANCISCO CALLEJAS PÉREZ, DIRECTOR DE PROMOCIÓN Y PLANEACIÓN ENERGÉTICA </t>
  </si>
  <si>
    <t>DGESE/212/042/2026</t>
  </si>
  <si>
    <t xml:space="preserve">INVITACIÓN A LA CUARTA REUNIÓN DE COORDINACIÓN 2026 CON LA DIRECCIÓN GENERAL DE EFICENCIA Y SUSTENTABILIDAD ENERGÉTICA DE LA SECRETARÍA DE ENERGÍA, EL 14 DE JULIO, EN MODALIDAD VIRTUAL A LAS 11:00 HORAS </t>
  </si>
  <si>
    <t>UPLAPH/DESP/001266/2026</t>
  </si>
  <si>
    <t xml:space="preserve">INVITACIÓN A LA CAPACITACIÓN SOBRE EL USO DE LA PLATAFORMA RUTS HIDALGO 2.0 EN DONDE SE ACTUALIZARÁ LA INFORMACIÓN DE LOS TRÁMITES Y SERVICIOS OFERTADOS POR LA AEEH, 15 DE JULIO A LAS 10:00 HORAS </t>
  </si>
  <si>
    <t xml:space="preserve">ARQ. ORLANDO 
LIC. ARELI </t>
  </si>
  <si>
    <t xml:space="preserve">AEEH/DG/658/2026, DE FECHA 13/07/2026, ENVIADO AL ING. OCTAVIO GOMEZ PAULIN, COORDINADOR DE GESTIÓN INSTITUCIONAL </t>
  </si>
  <si>
    <t xml:space="preserve">AEEH/DG/659/2026, DE FECHA 13/07/2026, ENVIADO AL ING. GILBERTO LEÓN ORDAZ, SUPERINTENDENTE EF - ZONA TULANCINGO </t>
  </si>
  <si>
    <t xml:space="preserve">AEEH/DG/667/2026, DE FECHA 13/07/2026, ENVIADO A LA LIC. ANA MARÍA RIVERA CONTRERAS, PRESIDENTA MUNICIPAL CONSTITUCIONAL DE TEZONTEPEC DE ALDAMA </t>
  </si>
  <si>
    <t xml:space="preserve">ARQUITECTO ORLANDO, ASISTE  A LA SESIÓN Y SE ELABORA REPORTE DE ACTIVIDADES </t>
  </si>
  <si>
    <t xml:space="preserve">ARQUITECTO ORLANDO, PARTICIPA EN LA SESIÓN Y SE ELABORA REPORTE DE ACTIVIDADES </t>
  </si>
  <si>
    <t xml:space="preserve">ARQ ORLANDO Y LIC. ARELI, ASISTEN A LA CAPACITACIÓN. </t>
  </si>
  <si>
    <t>579</t>
  </si>
  <si>
    <t>556</t>
  </si>
  <si>
    <t>575</t>
  </si>
  <si>
    <t>SEDECO/0733/2026</t>
  </si>
  <si>
    <t>AEEH-2*1S.3/09-2026
LÍNEA DE TRANSMISIÓN EN ALTA TENSIÓN - SUBESTACIONES NOCHISTONGO Y CIUDAD BICENTENARIO  
(QUMA)</t>
  </si>
  <si>
    <t xml:space="preserve">SEDECO, SOLICITA AL DIRECTOR GENERAL DEL CENTRO SICT HIDALGO, LOS ANTECEDENTES DE LOS DERECHOS DE VÍA DEL BLVD. BICENTENARIO EN ATOTONILCO DE TULA PARA LA CONSTITUCIÓN DE UNA SERVIDUMBRE DE PASO A FAVOR DE CFE DE UNA LÍNEA DE TRANSMISIÓN DE 115 KV, LO QUE PERMITIRÁ LA OPERACIÓN DE DE LA SUBESTACIÓN BICENTENARIO - ATOTONILCO DE TULA (QUMA) </t>
  </si>
  <si>
    <t xml:space="preserve">OFICIO DE CONOCIMIENTO </t>
  </si>
  <si>
    <t xml:space="preserve">INVITACIÓN A PARTICIPAR EN LA 2DA. CUMBRE DE ENERGÍA "EL NUEVO MODELO ENERGÉTICO MEXICANO: AVANCES Y DESAFIOS" EL 30 DE JULIO DEL 2026, A LAS 16:00 EN EL CLUB 51 TORRE MAYOR DE LA CIUDAD DE MÉXICO </t>
  </si>
  <si>
    <t xml:space="preserve">BARRIO MEXIQUITO </t>
  </si>
  <si>
    <t>ATENDER A ROSY ENEDINA PERÉZ HERNÁNDEZ, QUIEN SOLICITA APOYO PARA NEGOCIAR EL PAGO DE MULTA POR SERVICIO DE ENERGÍA ELECTRICA Y ASÍ SOLICITAR EL CONTRATO ANTE CFE</t>
  </si>
  <si>
    <t xml:space="preserve">AEEH/DG/545/2026, DE FECHA 16/06/2026, ENVIADO AL ING. OCTAVIO GÓMEZ PAULIN, COORDINADOR DE GESTIÓN INSTITUCIONAL 
AEEH/DG/673/2026, DE FECHA 14/07/2026, ENVIADO AL ING. OCTAVIO GÓMEZ PAULIN, COORDINADOR DE GESTIÓN INSTITUCIONAL </t>
  </si>
  <si>
    <t xml:space="preserve">AEEH/DG/0650/2026, DE FECHA 09/07/2026, ENVIADO AL ING. MAURICIO CUÉLLAR AHUMADA, SUBGERENTE DE OPERACIÓN Y DESPACHO DE LA GERENCIA DEL CENTRO NACIONAL Y ENCARGADO DE LA DIRECCIPON DE OPERACIÓN Y PLANEACIÓN DEL SISTEMA.
AEEH/DG/0651/2026, DE FECHA 09/07/2026, ENVIADO AL ING. CINTHYA YARELY MEZA CORTÉS, DIRECTORA GENERAL DE LA AGENCIA DE DESARROLLO VALLE DE PLATA, DIO RESPUESTA CON TURNO 586 Y OFICIO ADVP/330/2026.
AEEH/DG/0653/2026, DE FECHA 09/07/2026, ENVIADO AL MTRO. ERNESTO CADENA ACOSTA, SUBSECRETARIO DE INVERSIONES Y ECONOMÍA SECTORIAL, DIO RESPUESTA CON TURNO 587 Y OFICIO SEDECO/SIyES/109/2026. </t>
  </si>
  <si>
    <t>586</t>
  </si>
  <si>
    <t>587</t>
  </si>
  <si>
    <t>ADVP/330/2026</t>
  </si>
  <si>
    <t>SEDECO/SIYES/109/2026</t>
  </si>
  <si>
    <t xml:space="preserve">AEEH-2*1S.4/11-2026
CENTRO NACIONAL DE CONTROL DE ENERGÍA - CENACE </t>
  </si>
  <si>
    <t xml:space="preserve">LA AGENCIA DESARROLLO VALLE DE PLATA, RESPONDE EL OFICIO AEEH/DG/0651/2026, ENTREGA EL PRONOSTICO DE LA DEMANDA DE ENERGÍA ELÉCTRICA PARA LOS PARQUES Y ZONAS INDUSTRIALES VALLE DE PLATA. (RESPUESTA A PETICIÓN DE CENACE) </t>
  </si>
  <si>
    <t xml:space="preserve">LA SUBSECRETARÍA DE INVERSIONES Y ECONOMÍA SECTORIAL DA RESPUESTA AL OFICIO AEEH/DG/0653/2026, INFORMA LA DEMANDA ELÉCTRICA DE LAS EMPRESAS ESTABLECIDAS EN HIDALGO. (RESPUESTA A PETICIÓN DE CENACE)  </t>
  </si>
  <si>
    <t>594</t>
  </si>
  <si>
    <t>ALM/153/2026</t>
  </si>
  <si>
    <t>595</t>
  </si>
  <si>
    <t>SEDECO/CGI/TI/0896/2026
SDPEE/DGAP/4864/2026</t>
  </si>
  <si>
    <t xml:space="preserve">ATENDER A JOSÉ YOHAN HERNÁNDEZ ORTEGA, QUIEN SOLICITA APOYO PARA INGRESAR EN EL PROGRAMA ENERGÍA QUE TRANSFORMA  </t>
  </si>
  <si>
    <t>596</t>
  </si>
  <si>
    <t>SEDECO/CGI/TI/0897/2026
SDPEE/DGAP/4865/2026</t>
  </si>
  <si>
    <t>ATENDER A MARCOS RIVERAS HERNÁNDEZ, QUIEN SOLICITA APOYO PARA QUE SU VIVIENDA PUEDA CONTAR CON EL SERVICIO DE ENERGÍA ELECTRICA (ENERGÍA QUE TRANSFORMA)</t>
  </si>
  <si>
    <t>597</t>
  </si>
  <si>
    <t>SEDECO/CGI/TI/0895/2026
SDPEE/DGAP/4859/2026</t>
  </si>
  <si>
    <t>ATENDER A GENARO RIVEROS HERNÁNDEZ, QUIEN SOLICITA LA INSTALACIÓN DE ENERGÍA ELECTRICA EN SU VIVIENDA (ENERGÍA QUE TRANSFORMA)</t>
  </si>
  <si>
    <t>598</t>
  </si>
  <si>
    <t>SEDECO/CGI/TI/0898/2026
SDPEE/DGAP/4866/2026</t>
  </si>
  <si>
    <t>ATENDER A MELENI MUÑOZ GUERRERO , QUIEN SOLICITA LA INSTALACIÓN DE ENERGÍA ELÉCTRICA EN SU VIVIENDA (ENERGÍA QUE TRANSFORMA)</t>
  </si>
  <si>
    <t>599</t>
  </si>
  <si>
    <t>SEDECO/CGI/TI/0899/2026
SDPEE/DGAP/4867/2026</t>
  </si>
  <si>
    <t>ATENDER A YESENIA HERNÁNDEZ MARTÍNEZ, QUIEN SOLICITA LA INSTALACIÓN DE ENERGIA ELECTRICA EN SU VIVIENDA (ENERGÍA QUE TRANSFORMA)</t>
  </si>
  <si>
    <t>600</t>
  </si>
  <si>
    <t>SEDECO/CGI/TI/0900/2026
SDPEE/DGAP/4868/2026</t>
  </si>
  <si>
    <t>ATENDER A RAYMUNDO RIVEROS HERNÁNDEZ, QUIEN SOLICITA LA INSTALACIÓN DE ENERGÍA ELECTRICA EN SU VIVIENDA (ENERGÍA QUE TRANSFORMA)</t>
  </si>
  <si>
    <t>601</t>
  </si>
  <si>
    <t>SEDECO/CGI/TI/0901/2026
SDPEE/DGAP/4873/2026</t>
  </si>
  <si>
    <t>ATENDER A MARISOL FLORES MORENO, QUIEN SOLICITA LA DONACIÓN DE CELDAS FOTOVOLTAICAS PARA SU DOMICILIO (ENERGÍA QUE TRANSFORMA)</t>
  </si>
  <si>
    <t>602</t>
  </si>
  <si>
    <t>SEDECO/CGI/TI/0902/2026
SDPEE/DGAP/4876/2026</t>
  </si>
  <si>
    <t>ATENDER A MARÍA MATILDE GUERRERO, QUIEN SOLICITA QUE SU VIVIENDA TENGA ACCESO A LA ENERGIA ELECTRICA (EENRGÍA QUE TRANSFORMA)</t>
  </si>
  <si>
    <t>612</t>
  </si>
  <si>
    <t>PMT/ECO/00151/2026</t>
  </si>
  <si>
    <t xml:space="preserve">INVITACIÓN PARA ASISTIR AL PRIMER TALLER DE PARTICIPACIÓN SOCIAL PARA EL DESARROLLO DEL POELP EL 27 DE JULIO </t>
  </si>
  <si>
    <t>609</t>
  </si>
  <si>
    <t>GLO-420-2026</t>
  </si>
  <si>
    <t>SUPERINTENDENCIA DE CFE TULANCINGO, DA RESPUESTA A OFICIO AEEH/DG/659/2026, SE VERIFICÓ LA INSTALACIÓN Y SE SOLICITÓ REGISTRAR UNA SOLICITUD DE SERVICIO DE ENERGÍA ELÉCTRICA BAHO EL REGIMEN DE APORTACIONES DEL CAM DE ALMOLOYA</t>
  </si>
  <si>
    <t>454</t>
  </si>
  <si>
    <t>SEDECO/CGI/TI/0679/2026
SDPEE/DGAP/3429/2026</t>
  </si>
  <si>
    <t xml:space="preserve">ATENDER A SALVADOR HERNÁNDEZ DE LA CRUZ, QUIEN SOLICITA APOYO ECONOMICO PARA SUBSANAR LA DEUDA QUE EL SISTEMA DE AGUA POTABLE DE LA COMUNIDAD MANTIENE CON CFE (PERIODO 2017-2022) </t>
  </si>
  <si>
    <t>DOXEY</t>
  </si>
  <si>
    <t>456</t>
  </si>
  <si>
    <t>SEDECO/CGI/TI/0681/2026
SDPEE/DGAP/3464/2026</t>
  </si>
  <si>
    <t>ATENDER A PRISCILIANO MONTES HERNÁNDEZ QUIEN SOLICITA LA INTERVENCIÓN CON CFE PARA LA DEUDA QUE MANTIENE EL SISTEMA DE AGUA POTABLE DE LA COMUNIDAD CON CFE</t>
  </si>
  <si>
    <t>624</t>
  </si>
  <si>
    <t>UPLAPH/COEMERE/236/2026</t>
  </si>
  <si>
    <t xml:space="preserve">LA COMISIÓN ESTATAL DE MEJORA REGULATORIA SOLICITA REQUISITAR EL FORMATO CORRESPONDIENTE AL CENSO NACIONAL DE GOBIERNOS ESTATALES 2026, COORDINADO POR EL INEGI, EN LO REFERENTE A TRÁMITES Y SERVICIOS DE LA AGENCIA </t>
  </si>
  <si>
    <t>NO SE ASISTE POR INDICACIONES DE LA ARQUI IVONNE</t>
  </si>
  <si>
    <t xml:space="preserve">SE DA RESPUESTA CON OFICIO AEEH/DG /671/2026, SE ENTREGÓ EL PROYECTO DEL SISTEMA FOTOVOLTAICO AISLADO A PETICIONARIA </t>
  </si>
  <si>
    <t xml:space="preserve">SE DA RESPUESTA CON OFICIO AEEH/DG /714/2026, DE FECHA 29/07/2026, ENVIADO AL ING. OCTAVIO GÓMEZ PAULIN, COORDINADOR DE GESTIÓN INSTITUCIONAL </t>
  </si>
  <si>
    <t xml:space="preserve">SE DA RESPUESTA CON OFICIO AEEH/DG /715/2026, DE FECHA 29/07/2026, ENVIADO AL ING. OCTAVIO GÓMEZ PAULIN, COORDINADOR DE GESTIÓN INSTITUCIONAL </t>
  </si>
  <si>
    <t xml:space="preserve">SE DA RESPUESTA CON OFICIO AEEH/DG /713/2026, DE FECHA 29/07/2026, ENVIADO AL ING. OCTAVIO GÓMEZ PAULIN, COORDINADOR DE GESTIÓN INSTITUCIONAL </t>
  </si>
  <si>
    <t xml:space="preserve">SE DA RESPUESTA CON OFICIO AEEH/DG /712/2026, DE FECHA 29/07/2026, ENVIADO AL ING. OCTAVIO GÓMEZ PAULIN, COORDINADOR DE GESTIÓN INSTITUCIONAL </t>
  </si>
  <si>
    <t xml:space="preserve">SE DA RESPUESTA CON OFICIO AEEH/DG /711/2026, DE FECHA 29/07/2026, ENVIADO AL ING. OCTAVIO GÓMEZ PAULIN, COORDINADOR DE GESTIÓN INSTITUCIONAL </t>
  </si>
  <si>
    <t>SDE-UC-00862-26</t>
  </si>
  <si>
    <t xml:space="preserve">AEEH/DG/706/2026, DE FECHA 28/07/2026, ENVIADO AL ING. OCTAVIO GOMEZ PAULIN, COORDINADOR DE GESTIÓN INSTITUCIONAL </t>
  </si>
  <si>
    <t>SDE-UC-00861-26</t>
  </si>
  <si>
    <t xml:space="preserve">AEEH/DG/705/2026, DE FECHA 28/07/2026, ENVIADO AL ING. OCTAVIO GOMEZ PAULIN, COORDINADOR DE GESTIÓN INSTITUCIONAL </t>
  </si>
  <si>
    <t>AEEH/DG/474/2026, DE FECHA 27/05/2026, ENVIADO AL ING. CUITLÁHUAC GARCÍA JIMÉNEZ, DIRECTOR GENERAL DE CENAGAS.
ARQ. ORLANDO Y ARQ. DIEGO ASISTEN AL FORO CONSULTIVO EL DÍA 4 DE JUNIO 2026.
AEEH/DG/567/2026, DE FECHA 23/06/2026, ENVIADO AL ING. SAYNÉ MEZA MARTÍNEZ, TITULAR DE LA JEFATURA DE LA UNIDAD DE GESTIÓN TÉCNICA Y PLANEACIÓN DEL CENTRO NACIONAL DE CONTROL DE GAS NATURAL (CENAGAS).
AEEH/DG/568/2026 DE FECHA 24/06/2026 EN ALCANCE AEEH/DG/0617/2026, DE FECHA 03/07/2026. ENVIADO A LA ING. CINTHYA YARELY MEZA CORTÉS, DIRECTORA GENERAL DE LA AGENCIA DE DESARROLLO VALLE DE PLATA.
 AEEH/DG/569/2026, DE FECHA 23/06/2026, EN ALCANCE AEEH/DG/0616/2026 DE FECHA 03/07/2026,  ENVIADO A LA ARQ. MARIANA PÉREZ GARCÍA, DIRECTORA GENERAL DE LA CORPORACIÓN DE FOMENTO DE INFRAESTRUCTURA INDUSTRIAL.
 AEEH/DG/570/2026, DE FECHA 23/06/2026 EN ALCANCE AEEH/DG/0615/2026 E FECHA 03/07/2026, ENVIADO AL MTRO. ERNESTO CADENA ACOSTA, SUBSECRETARIO DE INVERSIONES Y ECONOMÍA SECTORIAL DE SEDECO  - DAN RESPUESTA CON SEDECO/SIyES/100/2026: REMITEN LA INFORMACIÓN SOLICITADA 
AEEH/DG/0716/2026 DE FECHA 29/07/2026 ENVIADO AL DIRECTOR GENERAL DEL CENTRO NACIONAL DE CONTROL DE GAS NATURAL, ENVIA INFORMACIÓN RECOPILADA EN HIDALGO PARA LA CONSULTA PÚBLICA CENAGAS 2026</t>
  </si>
  <si>
    <t>SDE-AEEH-00422-26</t>
  </si>
  <si>
    <t xml:space="preserve">AEEH/DG/0722/2026, DE FECHA 31/07/2026, ENVIADO A LA LIC. NORMA LETICIA REYES REYES, PRESIDENTA MUNICIPAL DE TLAHUELILPAN.  </t>
  </si>
  <si>
    <t>SE ENVIO MEDIANTE CORREO, EL OFICIO AEEH/DG/0722/2026, INFORMANDO LAS SUPERFICIES CON POTENCIAL PARA EL DESARROLLO DE INFRAESTRUCTURA DE GENERACIÓN FOTOVOLTAICA EN EL MUNICIPIO DE TLAHUELILPAN</t>
  </si>
  <si>
    <t>AEEH/DG/538/2026, DE FECHA 16/06/2026, Enviado al Ing. Abraham Méndez Sánchez, Superintendente de CFE Distribución Zona Tula
AEEH/DG/734/2026, DE FECHA 04/08/2026M ENVIADO AL ING. BERNARDO GRANDE HERNÁNDEZ, SUPERINTENDENTE DE CFE ZONA DE DISTRIBUCIÓN TULA}</t>
  </si>
  <si>
    <t>SDE-AEEH-00423-26</t>
  </si>
  <si>
    <t>LA GESTIÓN FUE INGRESADA POR EL AYUNTAMIENTO</t>
  </si>
  <si>
    <t xml:space="preserve">AEEH/DG/0733/2026, DE FECHA 04/08/2026, ENVIADO A LA MTRA. LILIANA BARRERA JIMÉNEZ, DIRECTORA DE SERVICIOS ESPECIALIZADOS Y ESTRATEGIA COMERCIAL CFE </t>
  </si>
  <si>
    <t>SDE-UC-01309-26</t>
  </si>
  <si>
    <t xml:space="preserve">AEEH/DG/744/2026, DE FECHA 04/08/2026, ENVIADO AL ING. OCTAVIO GÓMEZ PAULIN, COORDINADOR DE GESTIÓN INSTITUCIONAL  </t>
  </si>
  <si>
    <t>SDE-UC-01314-26</t>
  </si>
  <si>
    <t xml:space="preserve">AEEH/DG/743/2026, DE FECHA 04/08/2026, ENVIADO AL ING. OCTAVIO GÓMEZ PAULIN, COORDINADOR DE GESTIÓN INSTITUCIONAL  </t>
  </si>
  <si>
    <t>SDE-UC-01311-26</t>
  </si>
  <si>
    <t xml:space="preserve">AEEH/DG/742/2026, DE FECHA 04/08/2026, ENVIADO AL ING. OCTAVIO GÓMEZ PAULIN, COORDINADOR DE GESTIÓN INSTITUCIONAL  </t>
  </si>
  <si>
    <t>SDE-UC-01312-26</t>
  </si>
  <si>
    <t xml:space="preserve">AEEH/DG/735/2026, DE FECHA 04/08/2026, ENVIADO AL ING. OCTAVIO GÓMEZ PAULIN, COORDINADOR DE GESTIÓN INSTITUCIONAL  </t>
  </si>
  <si>
    <t>605</t>
  </si>
  <si>
    <t>SEDECO/CGI/TI/0915/2026
SDPEE/DGAP/4985/2026</t>
  </si>
  <si>
    <t xml:space="preserve">ATENDER A VÍCTOR ANASTACIO GONZÁLEZ QUIEN SOLICITA APOYO CON 100 METROS DE CABLE  PARA LA BAJADA DE LUZ EN LA IGLESIA DE SU COMUNIDAD. </t>
  </si>
  <si>
    <t>SDE-UC-01359-26</t>
  </si>
  <si>
    <t>623</t>
  </si>
  <si>
    <t>633</t>
  </si>
  <si>
    <t>625</t>
  </si>
  <si>
    <t>632</t>
  </si>
  <si>
    <t>634</t>
  </si>
  <si>
    <t>635</t>
  </si>
  <si>
    <t>614</t>
  </si>
  <si>
    <t>615</t>
  </si>
  <si>
    <t>616</t>
  </si>
  <si>
    <t>618</t>
  </si>
  <si>
    <t>619</t>
  </si>
  <si>
    <t>630</t>
  </si>
  <si>
    <t>649</t>
  </si>
  <si>
    <t>650</t>
  </si>
  <si>
    <t>PMT/333/2026</t>
  </si>
  <si>
    <t>SEDECO/CGI/TI/0954/2026
SDPEE/DGAP/5229/2026</t>
  </si>
  <si>
    <t>BOO.00.00.6.-26-0067</t>
  </si>
  <si>
    <t>SEDECO/DJ/331/2026</t>
  </si>
  <si>
    <t>SEDECO/SIyES/TI/104/2026</t>
  </si>
  <si>
    <t>SEDECO/CGI/TI/0924/2026
SDPEE/DGAP/5030/2026</t>
  </si>
  <si>
    <t>SEDECO/CGI/TI/0929/2026
SDPEE/DGAP/5044/2026</t>
  </si>
  <si>
    <t>SEDECO/CGI/TI/0930/2026
SDPEE/DGAP/5066/2026</t>
  </si>
  <si>
    <t>SEDECO/CGI/TI/0934/2026
SDPEE/DGAP/5088/2026</t>
  </si>
  <si>
    <t>SEDECO/CGI/TI/0932/2026
SDPEE/DGAP/5080/2026</t>
  </si>
  <si>
    <t>SEDECO/CGI/TI/0935/2026
SDPEE/DGAP/5101/2026</t>
  </si>
  <si>
    <t>SEDECO/CGI/TI/0936/2026
SDPEE/DGAP/5123/2026</t>
  </si>
  <si>
    <t>SEDECO/CGI/TI/0942/2026
SDPEE/DGAP/5139/2026</t>
  </si>
  <si>
    <t>SEDECO/CGI/TI/0946/2026
SDPEE/DGAP/5201/2026</t>
  </si>
  <si>
    <t>SEDECO/CGI/TI/0953/2026
SDPEE/DGAP/5224/2026</t>
  </si>
  <si>
    <t>SEDECO/CAyP/078/2026</t>
  </si>
  <si>
    <t>SEMARNATH/DESP/SSyCC/DGCC/DS-000384-2026</t>
  </si>
  <si>
    <t xml:space="preserve">PRESIDENTE MUNICIPAL DE TULA DE ALLENDE, INVITA AL TALLER DE PARTICIAPCION SOCIAL EL LUNES 03 DE AGOSTO </t>
  </si>
  <si>
    <t>DIRECTRO JURIDICO DE SEDECO SOLICITA INFORMACIÓN ACERCA DE LAS ACCIONES IMPLENTADAS RESPECTO AL CRECIMIENTO, ORIENTACIÓN Y CONSOLIDACIÓN  DE MICRO, PEQUEÑAS Y MEDIANAS EMPRESAS</t>
  </si>
  <si>
    <t>ATENDER A FRANCISCO ZARATE HERNANDEZ, SOLICITA ALUMBRADO PUBLICO EN CALLES CERCANAS AL CENTRO DE SALUD</t>
  </si>
  <si>
    <t xml:space="preserve">SEMARNATH SOLICITA INFORMACION PARA EL CENSO NACIONAL DE GOBIERNOS ESTATALES 2026, SECCION VII. ENERGIA </t>
  </si>
  <si>
    <t xml:space="preserve">ARQ. DIEGO ASISTE AL TALLER, SE ELABORA REPORTE DE ACTIVIDADES </t>
  </si>
  <si>
    <t xml:space="preserve">ATENDER A LUIS GERARDO GONZALEZ MARQUEZ, SOLICITA REUBICACION DE POSTES DE LUZ QUE SE ENCUENTRAN FUERA DE SU VIVIENDA Y COMPLICA QUE SU MADRE SE DESPLACE EN SU SILLA DE RUEDAS </t>
  </si>
  <si>
    <t>SDE-UC-01428-26</t>
  </si>
  <si>
    <t xml:space="preserve">S/N
LLEGÓ POR CORREO </t>
  </si>
  <si>
    <t xml:space="preserve">AGUA DEL CUERVO </t>
  </si>
  <si>
    <t xml:space="preserve">SANDRA </t>
  </si>
  <si>
    <t>DIRECTORA DE ÁREA DE ENLACE LEGISLATIVO DE LA SECRETARÍA DE MEDIO AMBIENTE Y RECURSOS NATURALES , DA ATENCIÓN AL OFICO SEDECO/713/2026, INFORMA LOS CRITERIOS EMITIDOS POR HACIENDA PARA CLASIFICAR LAS TARIFAS DOMESTICAS PARA SUMINISTRO BASICO DE ENERGIA EN VIVIENDAS DE LA HUASTECA Y SIERRA HIDALGUENSE.</t>
  </si>
  <si>
    <t>SDE-DJUR-00520-26</t>
  </si>
  <si>
    <t xml:space="preserve">SUBSECRETARIA DE INVERSIONES Y ECONOMIA SECTORIAL, SOLICITA REVISIÓN DE UGAS DE LA INDUSTRIA ENERGETICA, PARA DAR CUMPLIMIENTO AL PROGRAMA DE ORDENAMIENTO ECOLOGICO LOCAL PARTICIPATIVO( POELP) PACHUCA DE SOTO </t>
  </si>
  <si>
    <t xml:space="preserve">CUESTA COLORADA </t>
  </si>
  <si>
    <t>SDE-UC-01370-26</t>
  </si>
  <si>
    <t>PUERTO DEL TAMBOR</t>
  </si>
  <si>
    <t xml:space="preserve">ATENDER A FLAVIO HERNANDEZ HERNANDEZ, SOLICITA SERVICIO DE ENERGIA ELECTRICA EN SU LOCALIDAD </t>
  </si>
  <si>
    <t>SDE-UC-01369-26</t>
  </si>
  <si>
    <t>EL CHINILLAR</t>
  </si>
  <si>
    <t xml:space="preserve">ATENDER A LIZBET MARILU RESENDIZ OSORIO, SOLICITA LA INTRODUCCIÓN DE ENERGIA ELECTRICA QUE BENEFICIARA A 37 VECINOS DE LA LOCALIDAD. </t>
  </si>
  <si>
    <t>SDE-UC-01377-26</t>
  </si>
  <si>
    <t>ARELI</t>
  </si>
  <si>
    <t>ATENDER A OLGA ARENAS CORTES, SOLICITA APOYO PARA EL CAMBIO DE POSTE DE ENERGIA ELECTRICA, MISMAS QUE SE ENCUENTRAN CERCA DE LAS LAMINAS DE SU DOMICILIO.</t>
  </si>
  <si>
    <t>SDE-UC-01400-26</t>
  </si>
  <si>
    <t>ATENDER A TANIA ACOSTA ANGELES, SOLICITA MEDIACIÓN CON CFE PARA LA GESTIÓN DE UN POSTE Y UN TRANSFORMADOR Y ASÍ PODER REGULARIZAR EL SERVICIO DE ENERGIA ELECTRICA Y VERIFICAR UNA MULTA IMPUESTA.</t>
  </si>
  <si>
    <t>SDE-UC-01378-26</t>
  </si>
  <si>
    <t>ACATEPEC</t>
  </si>
  <si>
    <t>SDE-UC-01401-26</t>
  </si>
  <si>
    <t xml:space="preserve">ATENDER A FRANCISCO ZARATE HERNANDEZ, SOLICITA INTERVENCION CON CFE PARA LA AMPLIACION DE RED DE ENERGIA ELECTRICA EN SU LOCALIDAD. </t>
  </si>
  <si>
    <t>SDE-UC-01399-26</t>
  </si>
  <si>
    <t>HUEMACO</t>
  </si>
  <si>
    <t xml:space="preserve">ATENDER A CARLOS SAN JUAN VILLEGAS, SOLICITA LA SUSTITUCIÓN DE POSTES DE ENERGIA ELECTRICA QUE SE ENCUENTRAN EN MAL ESTADO. </t>
  </si>
  <si>
    <t>SDE-UC-01407-26</t>
  </si>
  <si>
    <t>ATENDER A MARIA GUADALUPE RODRIGUEZ VARGAS, SOLICITA MEDIACION CON CFE PARA QUE SU COMUNIDAD ACCEDA AL PROGRAMA INTERNET PARA TODOS</t>
  </si>
  <si>
    <t>SDE-UC-01420-26</t>
  </si>
  <si>
    <t>IXTAZOQUICO</t>
  </si>
  <si>
    <t>ATENDER A GILBERTO HERNANDEZ NICOLAS, QUIEN SOLICITA REVISION, MODERNIZACION Y REUBICACION DE INFRAESTRUCUTRA ELECTRICA</t>
  </si>
  <si>
    <t xml:space="preserve"> SDE-UC-01427-26</t>
  </si>
  <si>
    <t>LA COORDINACIÓN DE ADMINISTRACIÓN Y PLANEACIÓN DE SEDECO SOLICITA INFORMACION PARA EL CENSO NACIONAL DE GOBIERNOS ESTATALES 2026, MECANISMOS DE PARTICIPACION CIUDADANA DEL 01 DE ENERO AL 31 DE DICIEMBRE 2025</t>
  </si>
  <si>
    <t>SDE-DPLAN-00362-26</t>
  </si>
  <si>
    <t xml:space="preserve">AEEH/DG/736/2026, DE FECHA 06/08/2026, ENVIADO AL ING. OCTAVIO GÓMEZ PAULIN, COORDINADOR DE GESTIÓN INSTITUCIONAL  </t>
  </si>
  <si>
    <t>SDE-UC-01307-26</t>
  </si>
  <si>
    <t xml:space="preserve">AEEH/DG/738/2026, DE FECHA 06/08/2026, ENVIADO AL ING. OCTAVIO GÓMEZ PAULIN, COORDINADOR DE GESTIÓN INSTITUCIONAL  </t>
  </si>
  <si>
    <t>SDE-UC-01306-26</t>
  </si>
  <si>
    <t xml:space="preserve">AEEH/DG/739/2026, DE FECHA 06/08/2026, ENVIADO AL ING. OCTAVIO GÓMEZ PAULIN, COORDINADOR DE GESTIÓN INSTITUCIONAL  </t>
  </si>
  <si>
    <t>SDE-UC-01308-26</t>
  </si>
  <si>
    <t xml:space="preserve">AEEH/DG/737/2026, DE FECHA 06/08/2026, ENVIADO AL ING. OCTAVIO GÓMEZ PAULIN, COORDINADOR DE GESTIÓN INSTITUCIONAL  </t>
  </si>
  <si>
    <t>SDE-UC-01313-26</t>
  </si>
  <si>
    <t xml:space="preserve">AEEH/DG/740/2026, DE FECHA 06/08/2026, ENVIADO AL ING. OCTAVIO GÓMEZ PAULIN, COORDINADOR DE GESTIÓN INSTITUCIONAL  </t>
  </si>
  <si>
    <t>AEEH/DG/764/2026, DE FECHA 10/08/2026, ENVIADO A LA MAESTRA JESSICA ESPERANZA GONZALEZ DIAZ</t>
  </si>
  <si>
    <t>AEEH/DG/542/2026, DE FECHA 16/06/2026, ENVIADO AL ING. OCTAVIO GÓMEZ PAULIN, COORDINADOR DE GESTIÓN INSTITUCIONAL 
AEEH/DG/709/2026, DE FECHA 29/07/2026, ENVIADO AL ING. OCTAVIO GÓMEZ PAULIN, COORDINADOR DE GESTIÓN INSTITUCIONAL 
AEEH/DG/0754/2026, DE FECHA 06/08/2026, ENVIADO AL MTRO. HORACIO FRANCISCO RÍOS CANO, SUBSECRETARIO DE FOMENTO ECONÓMICO DE SEDECO.</t>
  </si>
  <si>
    <t xml:space="preserve">AEEH/DG/762/2026, DE FECHA 07/08/2026, ENVIADO AL ING. OCTAVIO GOMEZ PAULIN, COORDINADOR DE GESTIÓN INSTITUCIONAL </t>
  </si>
  <si>
    <t xml:space="preserve">AEEH/DG/751/2026, DE FECHA 05/08/2026, ENVIADO AL ING. OCTAVIO GOMEZ PAULIN, COORDINADOR DE GESTIÓN INSTITUCIONAL </t>
  </si>
  <si>
    <t xml:space="preserve">AEEH/DG/752/2026, DE FECHA 04/08/2026, ENVIADO AL LIC. PEDRO JAVIER PÉREZ LÓPEZ, DIRECTOR JURIDICO DE SEDECO </t>
  </si>
  <si>
    <t>AEEH/DG/755/2026, DE FECHA 06/08/2026, ENVIADO AL ING. OCTAVIO GOMEZ PAULIN, COORDINADOR DE GESTIÓN INSTICUCIONAL</t>
  </si>
  <si>
    <t xml:space="preserve">AEEH/DG/753/2026, DE FECHA 06/08/2026, ENVIADO AL ING. OCTAVIO GOMEZ PAULIN, COORDINADOR DE GESTIÓN INSTITUCIONAL </t>
  </si>
  <si>
    <t>AEEH/DG/756/2026, DE FECHA 07/08/2026, ENVIADO AL ING. OCTAVIO GOMEZ PAULIN, COORDINADOR DE GESTIÓN INSTICUCIONAL</t>
  </si>
  <si>
    <t>AEEH/DG/758/2026, DE FECHA 07/08/2026, ENVIADO AL ING. OCTAVIO GOMEZ PAULIN, COORDINADOR DE GESTIÓN INSTICUCIONAL</t>
  </si>
  <si>
    <t xml:space="preserve">AEEH/DG/759/2026, DE FECHA 07/08/2026, ENVIADO AL ING. OCTAVIO GOMEZ PAULIN, COORDINADOR DE GESTIÓN INSTITUCIONAL </t>
  </si>
  <si>
    <t>651</t>
  </si>
  <si>
    <t xml:space="preserve">MIGUEL GUTIERREZ, REPRESENTANTE DE GRENOL GMBHEN MÉXICO, PROPONE SOLUCIONAR PROBLEMAS AMBIENTALES PRODUCIENDO COMBUSTIBLE LIMPIO Y RENOVABLE, OFRECE EQUIPO DE CARBONIZACIÓN VAPOR THERMAL CARBONIZATION PARA CEMENTERAS  </t>
  </si>
  <si>
    <t>662</t>
  </si>
  <si>
    <t>SEMARNATH/DESP/SSyCC/DGCC/000386/2026</t>
  </si>
  <si>
    <t>INVITACIÓN A REUNIÓN VIRTUAL EL 12 DE AGOSTO PARA LA VALIDACIÓN DE FICHAS DEL PROGRAMA ESTATAL DE ACCIÓN ANTE EL CAMBIO CLIMATICO DEL ESTADO DE HIDALGO (PEACCH)</t>
  </si>
  <si>
    <t>671</t>
  </si>
  <si>
    <t>T.I./SEDECO/058/2026</t>
  </si>
  <si>
    <t>AEEH-2*1S/10-2026
SOLICITUD DE INFORMACIÓN</t>
  </si>
  <si>
    <t xml:space="preserve">INFORMAR A LA COORDINACIÓN DE ADMINISTRACIÓN Y PLANEACIÓN LOS PROGRAMAS Y SERVICIOS QUE BRINDA LA AGENCIA </t>
  </si>
  <si>
    <t>SDE-SRMAT-00281-26</t>
  </si>
  <si>
    <t>T.I./AEEH/DG/0017/2026, DE FECHA 11/08/2026, ENVIADO A LA MAESTRA JESSICA ESPERANZA GONZALEZ DIAZ, COORDINADORA DE ADMINISTRACIÓN Y PLANEACIÓN</t>
  </si>
  <si>
    <t xml:space="preserve">PEZMATLAN </t>
  </si>
  <si>
    <t>ATENDER A DIANA SANCHEZ RODRIGUEZ, SOLICITA APOYO CON EL REACOMODO DE LOS CABLES DE LUZ QUE SE ENCUENTRAN CERCA DE SU DOMICILIO.</t>
  </si>
  <si>
    <t>SEDECO/CGI/TI/0982/2026
SDPEE/DGAP/5392/2026</t>
  </si>
  <si>
    <t>TOTONICAPA</t>
  </si>
  <si>
    <t>ATENDER A ANTONIO HERNÁNDEZ HERNÁNDEZ, QUIEN SOLICITA LA AMPLIACIÓN DE RED DE ENERGÍA ELECTRICA (10 POSTES DE ENERGÍA)</t>
  </si>
  <si>
    <t>675</t>
  </si>
  <si>
    <t xml:space="preserve">S/N
CORREO ELECTRONICO 
</t>
  </si>
  <si>
    <t xml:space="preserve">GABRIEL MENDOZA DEL DEPARTAMENTO DE DESARROLLO DE NEGOCIO DE LA EMPRESA ACCIONA ENERGÍA, SOLICITA REUNIÓN CON LA AEEH PARA DAR A CONOCER UN PROYECTO FOTOVOLTAICO A DESARROLLARSE EN EL MUNICIPIO DE NOPALA DE VILLAGRAN. </t>
  </si>
  <si>
    <t>SEDECO/CGI/TI/0983/2026
SDPEE/DGAP/5398/2026</t>
  </si>
  <si>
    <t>SEDECO/CGI/TI/0992/2026
SDPEE/DGAP/5460/2026</t>
  </si>
  <si>
    <t>ATENDER A MARTINIANO MARTÍNEZ BAUTISTA, QUIEN SOLICITA LA AMPLIACIÓN DE LA RED DE ENERGÍA ELECTRICA (4 POSTES)</t>
  </si>
  <si>
    <t>668</t>
  </si>
  <si>
    <t xml:space="preserve">CERRO BLANCO </t>
  </si>
  <si>
    <t>ATENDER A ESTANISLAO OCAÑA PEREZ, QUIEN SOLICITA APOYO PARA LA ATENCIÓN A PROBLEMÁTICA TERRITORIAL QUE IMPIDE LA AMPLIACIÓN DE RED ELECTRICA.</t>
  </si>
  <si>
    <t xml:space="preserve">MARIVEL LOPEZ BARRERA SOLICITA LA REVISIÓN TÉCNICA DE LAS CONDICIONES DE SUMINISTRO ELECTRICO EN SU DOMICILIO  </t>
  </si>
  <si>
    <t xml:space="preserve">RESPUESTA A OFICIO SEDECO/259/2026, ESTATUS DE LOS PROYECTOS SUSCEPTIBLES A INCORPORAR EN EL POELP E INVITACIÓN A MESA DE TRABJO EL LUNES 09 DE MARZO </t>
  </si>
  <si>
    <t>SDE-AEEH-00425-26</t>
  </si>
  <si>
    <t xml:space="preserve">AEEH/DG/0781/2026, DE FECHA 13/08/2026, ENVIADO A LA MTRA. MONICA PATRICIA MIXTEGA TREJO, SECRETARIA DE LA SEMARNATH </t>
  </si>
  <si>
    <t>SDE-UC-01506-26</t>
  </si>
  <si>
    <t xml:space="preserve">AEEH/DG/0795/2026, DE FECHA 12/08/2026, ENVIADO AL ING. OCTAVIO GÓMEZ PAULIN, COORDINADOR DE GESTIÓN INSTITUCIONAL </t>
  </si>
  <si>
    <t>SDE-UC-01523-26</t>
  </si>
  <si>
    <t xml:space="preserve">AEEH/DG/0796/2026, DE FECHA 12/08/2026, ENVIADO AL ING. OCTAVIO GÓMEZ PAULIN, COORDINADOR DE GESTIÓN INSTITUCIONAL </t>
  </si>
  <si>
    <t>672</t>
  </si>
  <si>
    <t>673</t>
  </si>
  <si>
    <t>674</t>
  </si>
  <si>
    <t>SEDECO/CGI/TI/0999/2026
SDPEE/DGAP/5541/2026</t>
  </si>
  <si>
    <t>COYULA</t>
  </si>
  <si>
    <t xml:space="preserve">ATENDER A ARTURO FELIX ACOSTA, SOLICITA LA INSTALACIÓN DE LAMPARAS SOLARES O CELDAS FOTOVOLTAICOS PARA ALUMBRADO DE ÁREAS RECREATIVAS DE SU LOCALIDAD </t>
  </si>
  <si>
    <t>SEDECO/CGI/TI/1002/2026
SDPEE/DGAP/5570/2026</t>
  </si>
  <si>
    <t>ATENDER A WILEVALDO NAJERA TORRES, QUIEN SOLICITA LA INTERVENCIÓN CON CFE TRAS UN AJUSTE DE FACTURACIÓN (MULTA POR $66,523.00)</t>
  </si>
  <si>
    <t>SEDECO/DESP/1485/2026</t>
  </si>
  <si>
    <t>PROPORCIONARA LA COORDINACIÓN DE ADMINISTRACIÓN Y PLANEACIÓN INFORMACIÓN DE LOS PROGRAMAS SOCIALES OFERTADOS POR LA AEEH (NOMBRE DEL PROGRAMA, TIPO DE BENEFICIOS OTORGADOS Y DESGLOCE DE RESULTADOS 2023, 2024, 2025 Y 2026)</t>
  </si>
  <si>
    <t xml:space="preserve">OFICIO CON EL QUE EL AYUNTMIENTO DA RESPUESTA </t>
  </si>
  <si>
    <r>
      <rPr>
        <b/>
        <u/>
        <sz val="15"/>
        <color theme="1"/>
        <rFont val="Montserrat Medium"/>
        <family val="3"/>
      </rPr>
      <t xml:space="preserve">CORRESPONDENCIA EXTERNA 2026 </t>
    </r>
    <r>
      <rPr>
        <b/>
        <sz val="15"/>
        <color theme="1"/>
        <rFont val="Montserrat Medium"/>
        <family val="3"/>
      </rPr>
      <t xml:space="preserve">
DIRECCIÓN DE PROYECTOS E INFRAESTRUCTURA ENERGÉTICA </t>
    </r>
  </si>
  <si>
    <t>AEEH/DG/0809/2026, DE FECHA 14/08/2026, ENVIADO AL ING. OCTAVIO GOMEZ PAULIN, COORDINADOR DE GESTIÓN INSTICUCIONAL</t>
  </si>
  <si>
    <t xml:space="preserve">AEEH/DG/0812/2026, DE FECHA 14/08/2026, ENVIADO AL ING. OCTAVIO GOMEZ PAULIN, COORDINADOR DE GESTIÓN INSTITUCIONAL </t>
  </si>
  <si>
    <t>SEDECO/CGI/TI/0981/2026
SDPEE/DGAP/5385/2026</t>
  </si>
  <si>
    <t>SDE-UC-01508-26</t>
  </si>
  <si>
    <t>AEEH/DG/0813/2026, DE FECHA 14/08/2026, ENVIADO AL ING. OCTAVIO GOMEZ PAULIN, COORDINADOR DE GESTIÓN INSTICUCIONAL</t>
  </si>
  <si>
    <t>SDE-UC-01501-26</t>
  </si>
  <si>
    <t>AEEH/DG/0814/2026, DE FECHA 14/08/2026, ENVIADO AL ING. OCTAVIO GOMEZ PAULIN, COORDINADOR DE GESTIÓN INSTICUCIONAL</t>
  </si>
  <si>
    <t>SDE-UC-01528-26</t>
  </si>
  <si>
    <t xml:space="preserve">AEEH/DG/0815/2026, DE FECHA 12/08/2026, ENVIADO AL ING. OCTAVIO GÓMEZ PAULIN, COORDINADOR DE GESTIÓN INSTITUCIONAL </t>
  </si>
  <si>
    <t>SDE-UC-01529-26</t>
  </si>
  <si>
    <t xml:space="preserve">AEEH/DG/0816/2026, DE FECHA 14/08/2026, ENVIADO AL ING. OCTAVIO GÓMEZ PAULIN, COORDINADOR DE GESTIÓN INSTITUCIONAL </t>
  </si>
  <si>
    <t>647</t>
  </si>
  <si>
    <t xml:space="preserve">S/N
WHATSAPP DE SANDY </t>
  </si>
  <si>
    <t>ATENDER A ANA KAREN GARCIÁ REYES, QUIEN SOLICITA APOYO PARA PANELES SOLARES PARA MEJORAR LA EL SUMINISTRO ELECTRICO EN SU DOMICILIO</t>
  </si>
  <si>
    <t xml:space="preserve">AEEH/DG/0807/2026, ENVIADO A ING. PAULINO GARCÍA MONTESINOS </t>
  </si>
  <si>
    <t>SAN RAFAEL MAZATEPEC</t>
  </si>
  <si>
    <t>775 150 2946</t>
  </si>
  <si>
    <t>kzr9e@gmail.com</t>
  </si>
  <si>
    <t xml:space="preserve">AEEH/DG/0808/2026, DE FECHA 14/08/2026, ENVIADO AL ING. PAULINO GARCÍA MONTESINOS, SUPERINTENDENTE GENERAL E.F. DE LA COMISIÓN FEDERAL DE LECTRICIDAD ZONA TULANCINGO </t>
  </si>
  <si>
    <t xml:space="preserve">AEEH/DG/0819/2026, DE FECHA 18/08/2026, ENVIADO AL ING. RAFAEL NAVARRO PÉREZ, SUPERINTENDENTE DE CFE DISTRIBUCIÓN ZONA PACHUCA  </t>
  </si>
  <si>
    <t xml:space="preserve">AEEH/DG/0822/2026, DE FECHA 18/08/2026, ENVIADO AL ING. PAULINO GARCÍA MONTESINOS, SUPERINTENDENTE GENERAL E.F. DE LA COMISIÓN FEDERAL DE LECTRICIDAD ZONA TULANCINGO </t>
  </si>
  <si>
    <t xml:space="preserve">AEEH/DG/0824/2026, DE FECHA 18/08/2026, ENVIADO AL ING. JOSE LUIS FRANCISCO CRAVIOTO, SUPERINTENDENTE GENERAL E.F. DE LA COMISIÓN FEDERAL DE LECTRICIDAD ZONA IXMIQUILPNA </t>
  </si>
  <si>
    <t xml:space="preserve">AEEH/DG/0825/2026, DE FECHA 18/08/2026, ENVIADO AL ING. HUGO ALEJANDRO ABUNDIS GONZALEZ, SUPERINTENDENTE DE LA COMISIÓN FEDERAL DE LECTRICIDAD ZONA HUEJUTLA </t>
  </si>
  <si>
    <t>AEEH/DG/0823/2026, DE FECHA 18/08/2026, ENVIADO AL ING. JOSE LUIS FRANCISCO CRAVIOTO, SUPERINTENDENTE GENERAL E.F. DE LA COMISIÓN FEDERAL DE LECTRICIDAD ZONA IXMIQUILPAN</t>
  </si>
  <si>
    <t xml:space="preserve">AEEH/DG/0826/2026, DE FECHA 18/08/2026, ENVIADO AL ING. HUGO ALEJANDRO ABUNDIS GONZALEZ, SUPERINTENDENTE DE LA COMISIÓN FEDERAL DE LECTRICIDAD ZONA HUEJUTLA </t>
  </si>
  <si>
    <t xml:space="preserve">AEEH/DG/0827/2026, DE FECHA 18/08/2026, ENVIADO AL ING. HUGO ALEJANDRO ABUNDIS GONZALEZ, SUPERINTENDENTE DE LA COMISIÓN FEDERAL DE LECTRICIDAD ZONA HUEJUTLA </t>
  </si>
  <si>
    <t xml:space="preserve">AEEH/DG/0830/2026, DE FECHA 18/08/2026, ENVIADO AL ING. RAFAEL NAVARRO PÉREZ, SUPERINTENDENTE DE LA COMISIÓN FEDERAL DE LECTRICIDAD ZONA PACHUCA </t>
  </si>
  <si>
    <t xml:space="preserve">EL DÍA 09 DE MARZO, ARQ. ORLANDO Y ARQ. IVONNE ASISTEN A LA REUNIÓN EN LA SALA DE JUNTAS DE SEMARNATH, SE DA RESPUESTA MEDIANTE OFICIO AEEH/DG/079/2026, AL ING. OCTAVIO GOMEZ PAULIN - COORDINADOR DE GESTIÓN INSTITUCIONAL.
SE ELABORA UN REPORTE DE ACTIVIDADES </t>
  </si>
  <si>
    <t>AEEH/DG/0811/2026, DE FECHA 14/08/2026, ENVIADO AL ING. OCTAVIO GOMEZ PAULIN, COORDINADOR DE GESTIÓN INSTITUCIONAL.
AEEH/DPIE/076/2026, DE FECHA 20/08/2026, ENVIADO A LA MAP. MARIA GUADALUPE OLGUÍN ROMERO, DIRECTORA DE ACCIONES SOCIALES PARA LA JUSTICIA ENERGÉTICA.</t>
  </si>
  <si>
    <t>AEEH/DG/0810/2026, DE FECHA 14/08/2026, ENVIADO AL ING. OCTAVIO GOMEZ PAULIN, COORDINADOR DE GESTIÓN INSTITUCIONAL. 
AEEH/DPIE/077/2026, DE FECHA 24/08/2026, ENVIADO A LA MAP. MARIA GUADALUPE OLGUÍN ROMERO, DIRECTORA DE ACCIONES SOCIALES PARA LA JUSTICIA ENERGÉTICA.</t>
  </si>
  <si>
    <t>AEEH/DG/0861/2026, DE FECHA 24/08/2026, ENVIADO AL ING. JORGE ALBERTO HERNANDEZ CORTÉS, PRESIDENTE MUNICIPAL DE HUAUTLA</t>
  </si>
  <si>
    <t xml:space="preserve">GESTIÓN REPETIDA CON EL TURNO 459 
SE DA RESPUESTA CON OFICIO AEEH/DG/557/2026, DE FECHA 22/06/2026, ENVIADO AL ING. OCTAVIO GOMEZ PAULIN, COORDINADOR DE GESTIÓN INSTITUCIONAL. 
SE DA RESPUESTA CON OFICIO AEEH/DG/0870/2026, DE FECHA 26/08/2026, ENVIADO AL ING. OCTAVIO GOMEZ PAULIN, COORDINADOR DE GESTIÓN INSTITUCIONAL. </t>
  </si>
  <si>
    <t xml:space="preserve">GESTIÓN REPETIDA CON EL TURNO 447
SE DA RESPUESTA CON OFICIO AEEH/DG/557/2026, DE FECHA 22/06/2026, ENVIADO AL ING. OCTAVIO GOMEZ PAULIN, COORDINADOR DE GESTIÓN INSTITUCIONAL. 
SE DA RESPUESTA CON OFICIO AEEH/DG/0870/2026, DE FECHA 26/08/2026, ENVIADO AL ING. OCTAVIO GOMEZ PAULIN, COORDINADOR DE GESTIÓN INSTITUCIONAL. </t>
  </si>
  <si>
    <t>678</t>
  </si>
  <si>
    <t>SEMARNATH/SSPA/DGOET-096/2026</t>
  </si>
  <si>
    <t>681</t>
  </si>
  <si>
    <t>JLMG/001/2026</t>
  </si>
  <si>
    <t>SUPERINTENDENTE DE ÁREA PROGRESO DE CFE, ENVIA ACUSE DEL OFICIO ENVIADO A CIUDADANO DE LA COMUNIDAD DE MANGAS TEZONTEPEC DE ALDAMA (SEGUIMIENTO AL TURNO: 447 A NOMBRE DE GERARDO VALDIVIA GARCÍA Y 459 A NOMBRE DE MARCELINA LEONOR MOTA MARTÍNEZ ) "CASO DE ÉXITO"</t>
  </si>
  <si>
    <t>JLM/001/2026</t>
  </si>
  <si>
    <t>685</t>
  </si>
  <si>
    <t>SEMARNATH/DESP/SSPA-0417/2026</t>
  </si>
  <si>
    <t xml:space="preserve">SEMARNATH, INVITA A LA DECIMA SESIÓN ORDINARIA DEL SUBCOMITÉ SECTORIAL DEL MEDIO AMBIENTE Y RECURSOS NATURALES EL DÍA 28 DE AGOSTO A LAS 11 HORAS, EN MODALIDAD VIRTUAL </t>
  </si>
  <si>
    <t>687</t>
  </si>
  <si>
    <t>SEDECO/CGI/TI/1015/2026
SDPEE/DGAP/5602/2026</t>
  </si>
  <si>
    <t xml:space="preserve">ATENDER A JOSE FELIPE JIMÉNEZ VIVEROS, QUIEN SOLICITA LA REUBICACIÓN DE UN POSTE EL CUAL ES PELIGROSO PARA LOS HABITANTES DE SU DOMICILIO.   </t>
  </si>
  <si>
    <t>SDE-UC-01551-26</t>
  </si>
  <si>
    <t xml:space="preserve">AEEH/DG/0856/2026, DE FECHA 24/08/2026, ENVIADO AL ING. OCTAVIO GÓMEZ PAULIN, COORDINADOR DE GESTIÓN INSTITUCIONAL </t>
  </si>
  <si>
    <t>691</t>
  </si>
  <si>
    <t>SEDECO/CGI/0320/2026</t>
  </si>
  <si>
    <t xml:space="preserve">INVITACIÓN A PARTICIPAR A UNA REUNIÓN VIRTUAL CON LA DIRECCIÓN DE ATENCIÓN AL PUEBLO DE SEDECO, CON LA FINALIDAD DE PROPONER PROCESOS DE MEJORA PARA CADA UNA DE LAS ATENCIONES PROPORCIONADAS A LA CIUDADANIA </t>
  </si>
  <si>
    <t>LIC. ARELI SE CONECTA A LA SESIÓN, SE ELABORA REPORTE DE ACTIVIDADES</t>
  </si>
  <si>
    <t>693</t>
  </si>
  <si>
    <t>SEDECO/CGI/TI/1029/2026
SDPEE/DGAP/5713/2026</t>
  </si>
  <si>
    <t xml:space="preserve">ATENDER A ARACELI CORTES SONI, QUIEN SOLICITA ALUMBRADO PÚBLICO PARA SU LOCALIDAD. </t>
  </si>
  <si>
    <t>SDE-UC-01594-26</t>
  </si>
  <si>
    <t xml:space="preserve">AEEH/DG/0851/2026, DE FECHA 21/08/2026, ENVIADO AL ING. OCTAVIO GÓMEZ PAULIN, COORDINADOR DE GESTIÓN INSTITUCIONAL </t>
  </si>
  <si>
    <t>694</t>
  </si>
  <si>
    <t>SEDECO/CGI/TI/1030/2026
SDPEE/DGAP/5721/2026</t>
  </si>
  <si>
    <t xml:space="preserve">ATENDER A VIRGINIA BAÑOS ISLAS, QUIEN SOLICITA MEDIACIÓN CON CFE POR UN PRESUNTO ADEUDO.  </t>
  </si>
  <si>
    <t>SDE-UC-01591-26</t>
  </si>
  <si>
    <t xml:space="preserve">AEEH/DG/0857/2026, DE FECHA 24/08/2026, ENVIADO AL ING. OCTAVIO GÓMEZ PAULIN, COORDINADOR DE GESTIÓN INSTITUCIONAL </t>
  </si>
  <si>
    <t>695</t>
  </si>
  <si>
    <t>SEDECO/CGI/TI/1034/2026
SDPEE/DGAP/5780/2026</t>
  </si>
  <si>
    <t>SAN NICOLAS COATZONTLA</t>
  </si>
  <si>
    <t xml:space="preserve">ATENDER A JUANA FRANCISCO BELIO, QUIEN SOLICITA ALUMBRADO PÚBLICO PARA SU LOCALIDAD </t>
  </si>
  <si>
    <t>SDE-UC-01590-26</t>
  </si>
  <si>
    <t xml:space="preserve">AEEH/DG/0858/2026, DE FECHA 24/08/2026, ENVIADO AL ING. OCTAVIO GÓMEZ PAULIN, COORDINADOR DE GESTIÓN INSTITUCIONAL </t>
  </si>
  <si>
    <t xml:space="preserve">AEEH/DG/0864/2026, DE FECHA 24/08/2026, ENVIADO AL PROFR. LUIS ENRIQUE TAPIA ZAPATA, PRESIDENTE MUNICIPAL CONSTITUCIONAL DE JUAREZ, HIDALGO.  </t>
  </si>
  <si>
    <t>696</t>
  </si>
  <si>
    <t>SEDECO/CGI/TI/1033/2026
SDPEE/DGAP/5697/2026</t>
  </si>
  <si>
    <t>SDE-UC-01593-26</t>
  </si>
  <si>
    <t xml:space="preserve">AEEH/DG/0850/2026, DE FECHA 21/08/2026, ENVIADO AL ING. OCTAVIO GÓMEZ PAULIN, COORDINADOR DE GESTIÓN INSTITUCIONAL </t>
  </si>
  <si>
    <t>697</t>
  </si>
  <si>
    <t>SEDECO/CGI/TI/1032/2026
SDPEE/DGAP/5763/2026</t>
  </si>
  <si>
    <t xml:space="preserve">ATENDER A FILIBERTO HILARIO MOEDANO, QUIEN SOLICITA ALUMBRADO PÚBLICO EN SU LOCALIDAD  </t>
  </si>
  <si>
    <t>SDE-UC-01596-26</t>
  </si>
  <si>
    <t xml:space="preserve">AEEH/DG/0845/2026, DE FECHA 20/08/2026, ENVIADO AL ING. OCTAVIO GÓMEZ PAULIN, COORDINADOR DE GESTIÓN INSTITUCIONAL </t>
  </si>
  <si>
    <t>SEDECO/CGI/TI/1031/2026
SDPEE/DGAP/5736/2026</t>
  </si>
  <si>
    <t xml:space="preserve">ATENDER A LEONCIO ALVAREZ ALARCON, QUIEN SOLICITA APOYO PARA LA CORRECIÓN DE DATOS EN RECIBOS DE LUZ  </t>
  </si>
  <si>
    <t>SDE-UC-01595-26</t>
  </si>
  <si>
    <t xml:space="preserve">AEEH/DG/0859/2026, DE FECHA 24/08/2026, ENVIADO AL ING. OCTAVIO GÓMEZ PAULIN, COORDINADOR DE GESTIÓN INSTITUCIONAL </t>
  </si>
  <si>
    <t xml:space="preserve">14.- CONCILIACIÓN ANTE CFE </t>
  </si>
  <si>
    <t>705</t>
  </si>
  <si>
    <t>117.DGISCPOS.3809/2026</t>
  </si>
  <si>
    <t>AEEH-2*1S.3/08-2026
PROYECTOS FOTOVOLTAICOS - ALTEN ENERGÍAS RENOVABLES</t>
  </si>
  <si>
    <t xml:space="preserve">LA DIRECCIÓN GENERAL DE IMPACTO SOCIAL , CONSULTA PREVIA Y OCUPACIÓN SUPERFICIAL, INVITA A UNA REUNIÓN RESPECTO A LA CONSTRUCCIÓN Y OPERACIÓN DE LOS PROYECTOS ALTEN HIDALGO Y GLOBAL SOLAR EN NOPALA DE VILLAGRÁN </t>
  </si>
  <si>
    <t xml:space="preserve">ARQUI ORLANDO ASISTE A NOPALA DE VILLAGRÁN, SE ELABORA REPORTE DE ACTIVIDADES </t>
  </si>
  <si>
    <t>701</t>
  </si>
  <si>
    <t>SEDECO/CGI/TI/1046/2026
SDPEE/DGAP/3267/2026</t>
  </si>
  <si>
    <t>COLONIA AL ÁRBOL GRANDE</t>
  </si>
  <si>
    <t>ATENDER AL C. MIGUEL MARTÍNEZ REYES,QUIEN SOLICITAALUMBRADO PÚBLICO EN SU LOCALIDAD.</t>
  </si>
  <si>
    <t>702</t>
  </si>
  <si>
    <t>PMT/351/2026</t>
  </si>
  <si>
    <t xml:space="preserve">INVITACIÓN PARA PARTICIPAR EN EL SEGUNDO TALLER DE PARTICIPACIÓN SOCIAL DEL PROGRAMA DE ORDENAMIENTO ECOLOGICO LOCAL (POEL) DEL MUNICIPIO DE TULA DE ALLENDE </t>
  </si>
  <si>
    <t>SEDECO/CGI/TI/1063/2026
SDPEE/DGAP/5929/2026</t>
  </si>
  <si>
    <t>AGUA DEL CUERVO</t>
  </si>
  <si>
    <t>ATENDER A ALICIA GOMEZ ZAPATA, QUIEN SOLICITA AMPLIACIÓN DE LUZ ELECTRICA (NO CUENTAN CON EL SERVICIO)</t>
  </si>
  <si>
    <t>690</t>
  </si>
  <si>
    <t>SEMARNATH/DESP/DGOET/410-2026</t>
  </si>
  <si>
    <t>707</t>
  </si>
  <si>
    <t>SEDECO/CGI/TI/1062/2026
SDPEE/DGAP/5917/2026</t>
  </si>
  <si>
    <t>LAZARO CARDENAS</t>
  </si>
  <si>
    <t xml:space="preserve">ATENDER A CLEMENTE CORREA ACOSTA, QUIEN SOLICITA INTERVENCIÓN CON CFE PARA CAMBIAR LA RUTA DE LA RED ELECTRICA DE SU LOCALIDAD. </t>
  </si>
  <si>
    <t>708</t>
  </si>
  <si>
    <t>MT/SGM/0689/2026</t>
  </si>
  <si>
    <t xml:space="preserve">INVITACIÓN A LA INSTALACIÓN DEL COMITÉ DE ORDENAMIENTO ECOLOGICO LOCAL (COEL) EN TEPETITLAN EL DÍA MARTES 25 DE AGOSTO </t>
  </si>
  <si>
    <t>ARQ. DIEGO ASISTE A LA SESIÓN</t>
  </si>
  <si>
    <t>714</t>
  </si>
  <si>
    <t xml:space="preserve">S/N
CORREO ELECTRONICO DE CFE
</t>
  </si>
  <si>
    <t xml:space="preserve">ING. EDUARDO ROJAS FLORES DEL DEPARTAMENTO DE PLANEACIÓN ZONA TULA E.F.,INFORMA LOS AVANCES DE CADA UNA DE LAS ATENCIONES HECHAS POR CFE ZONA TULA </t>
  </si>
  <si>
    <t xml:space="preserve">ARQ. ORLANDO 
LIC. ARELI 
ING. SANDRA 
ARQ. DIEGO </t>
  </si>
  <si>
    <t>SEDECO/CGI/TI/1074/2026
SDPEE/DGAP/6034/2026</t>
  </si>
  <si>
    <t xml:space="preserve">ATENDER A ANTONIO MONTIEL ESCAMILLA, QUIEN SOLICITA APOYO PARA LA AMPLIACIÓN DE ENERGÍA ELECTRICA EN SU LOCALIDAD. </t>
  </si>
  <si>
    <t xml:space="preserve">BARRIO LOS CERRITOS </t>
  </si>
  <si>
    <t xml:space="preserve">AEEH/DG/0834/2026, DE FECHA 18/08/2026, ENVIADO AL ING. HUGO ALEJANDRO ABUNDIS GONZALEZ, SUPERINTENDENTE DE LA COMISIÓN FEDERAL DE LECTRICIDAD ZONA HUEJUTLA </t>
  </si>
  <si>
    <t xml:space="preserve">AEEH/DG/0832/2026, DE FECHA 18/08/2026, ENVIADO AL ING. HUGO ALEJANDRO ABUNDIS GONZALEZ, SUPERINTENDENTE DE LA COMISIÓN FEDERAL DE LECTRICIDAD ZONA HUEJUTLA </t>
  </si>
  <si>
    <t xml:space="preserve">AEEH/DG/0835/2026, DE FECHA 18/08/2026, ENVIADO AL ING. HUGO ALEJANDRO ABUNDIS GONZALEZ, SUPERINTENDENTE DE LA COMISIÓN FEDERAL DE LECTRICIDAD ZONA HUEJUTLA </t>
  </si>
  <si>
    <t xml:space="preserve">AEEH/DG/0837/2026, DE FECHA 19/08/2026, ENVIADO AL ING. HUGO ALEJANDRO ABUNDIS GONZALEZ, SUPERINTENDENTE DE LA COMISIÓN FEDERAL DE LECTRICIDAD ZONA HUEJUTLA </t>
  </si>
  <si>
    <t xml:space="preserve">FIRMA DE RECIBIDO </t>
  </si>
  <si>
    <t xml:space="preserve">AEEH/DG/0862/2026, DE FECHA 24/08/2026, ENVIADO AL ING. HUGO ALEJANDRO ABUNDIS GONZALEZ, SUPERINTENDENTE DE LA COMISIÓN FEDERAL DE LECTRICIDAD ZONA HUEJUTLA </t>
  </si>
  <si>
    <t xml:space="preserve">AEEH/DG/0890/2026, DE FECHA 01/09/2026, ENVIADO AL ING. HUGO ALEJANDRO ABUNDIS GONZALEZ, SUPERINTENDENTE DE LA COMISIÓN FEDERAL DE LECTRICIDAD ZONA HUEJUTLA </t>
  </si>
  <si>
    <t xml:space="preserve">AEEH/DG/0891/2026, DE FECHA 01/09/2026, ENVIADO AL ING. HUGO ALEJANDRO ABUNDIS GONZALEZ, SUPERINTENDENTE DE LA COMISIÓN FEDERAL DE LECTRICIDAD ZONA HUEJUTLA </t>
  </si>
  <si>
    <t> SDE-UC-01644-26</t>
  </si>
  <si>
    <t>SDE-UC-01682-26</t>
  </si>
  <si>
    <t xml:space="preserve">ATENDER A OCTAVIANO PEPE ROMERO, SOLICITA LA REHABILITACIÓN  DE RED ELECTRICA EN SU COLONIA, LA CUAL SE VIO AFECTADA POR LA VAGUADA MONZONICA </t>
  </si>
  <si>
    <t xml:space="preserve">NO. DE TURNO </t>
  </si>
  <si>
    <t>AEEH/DG/0833/2026, DE FECHA 18/08/2026, ENVIADO AL ING. JOSE LUIS FRANCISCO CRAVIOTO, SUPERINTENDENTE GENERAL E.F. DE LA COMISIÓN FEDERAL DE LECTRICIDAD ZONA IXMIQUILPAN</t>
  </si>
  <si>
    <t xml:space="preserve">AEEH/DG/0841/2026, DE FECHA 19/08/2026, ENVIADO AL ING. BERNARDO GRANDE HERNÁNDEZ, SUPERINTENDENTE GENERAL DE LA ZONA DE DISTRIBUCIÓN TULA </t>
  </si>
  <si>
    <t>370</t>
  </si>
  <si>
    <t>417</t>
  </si>
  <si>
    <t>509</t>
  </si>
  <si>
    <t>617</t>
  </si>
  <si>
    <t>620</t>
  </si>
  <si>
    <t>621</t>
  </si>
  <si>
    <t>631</t>
  </si>
  <si>
    <t>656</t>
  </si>
  <si>
    <t>657</t>
  </si>
  <si>
    <t>658</t>
  </si>
  <si>
    <t>698</t>
  </si>
  <si>
    <t>706</t>
  </si>
  <si>
    <t>718</t>
  </si>
  <si>
    <t>721</t>
  </si>
  <si>
    <t>727</t>
  </si>
  <si>
    <t>728</t>
  </si>
  <si>
    <t>724</t>
  </si>
  <si>
    <t>DXY/194/2026</t>
  </si>
  <si>
    <t>DELEGADO MUNICIPAL DE DOXEY, ENVÍA LOS DATOS DE LOS INTEGRANTES DEL ORGANO OPERADOR DE AGUA POTABLE DE DOXEY</t>
  </si>
  <si>
    <t xml:space="preserve">OFICIO DE CONOCIMIENTO, ARQ. DIEGO LO MANTENDRÁ EN PROCESO  </t>
  </si>
  <si>
    <t>SEDECO/CGI/TI/1089/2026
SDPEE/DGAP/6128/2026</t>
  </si>
  <si>
    <t xml:space="preserve">TEMACUIL </t>
  </si>
  <si>
    <t xml:space="preserve">ATENDER A MARIBEL SÁNCHEZ RAMOS, QUIEN SOLICITA UN TRANAFORMADOR YA QUE 4 FAMILIAS DE LA LOCALIDAD NO CUENTAN CON EL SERVICIO DE ENERGÍA ELECTRICA  </t>
  </si>
  <si>
    <t>SEDECO/CGI/TI/1093/2026
SDPEE/DGAP/6193/2026</t>
  </si>
  <si>
    <t>ATENDER A GINA REYNA HERNÁNDEZ, DIRECTORA GENERAL DE LA COMISIÓN DE AGUA POTABLE ALCANTARILLADO Y SANEAMIENTO DEL MUNICIPIO DE JACALA DE LEDEZMA YA QUE EL ORGANISMO SUFRE CONSTANTEMENTE DE INTERRUPCIONES EN EL SERVICIO DE ENERGÍA ELECTRICA, APAGONES, EVITANDO EL BOMBEO Y REBOMBEO DEL SERVICIO DE AGUA POTABLE.</t>
  </si>
  <si>
    <t>117.DGISCPOS.3914/2026</t>
  </si>
  <si>
    <t>LA DIRECCIÓN GENERAL DE IMPACTO SOCIAL, CONSULTA PREVIA Y OCUPACIÓN SUPERFICIAL DE LA SENER, INVITA A PARTICIPAR EN EL PROCEDIMIENTO DE CONSUTLA PREVIA, LIBRE E INFORMADA DE LA CENTRAL FOTOVOLTAICA DENOMINADA "FV TECOZAUTLA",EL DÍA 06 DE SEPTIEMBRE A LAS 08:00 HORAS, EN LA LOCALIDAD DE MAGUEY VERDE, TECOZAUTLA</t>
  </si>
  <si>
    <t> SDE-UC-01638-26</t>
  </si>
  <si>
    <t xml:space="preserve">AEEH/DG/0883/2026, DE FECHA 31/08/2026, ENVIADO AL ING. OCTAVIO GÓMEZ PAULIN, COORDINADOR DE GESTIÓN INSTITUCIONAL </t>
  </si>
  <si>
    <t xml:space="preserve">AEEH/DG/657/2026, DE FECHA 13/07/2026, ENVIADO AL ING. OCTAVIO GOMEZ PAULIN, COORDINADOR DE GESTIÓN INSTITUCIONAL.
AEEH/DG/0842/2026, DE FECHA 19/08/2026, ENVIADO AL ING. OCTAVIO GOMEZ PAULIN, COORDINADOR DE GESTIÓN INSTITUCIONAL. </t>
  </si>
  <si>
    <t>SEMARNATH SOLICITA INFORMACION DE LOS PLANES, PROGRAMAS Y PROYECTOS EN LOS MUNICIPIOS DE SAN GUSTÍN TLAXIACA, TLAHUELILPAN, TEPETILAN, TEZONTEPEC DE ALDAMA Y TULA DE ALLENDE</t>
  </si>
  <si>
    <t>SDE-AEEH-00432-26</t>
  </si>
  <si>
    <t xml:space="preserve">AEEH/DG/0881/2026, DE FECHA 31/08/2026, ENVIADO A LA MTRA. MÓNICA PATRICIA MIXTEGA TREJO, SECRETARIA DE MEDIO AMBIENTE Y RECURSOS NATURALES DEL ESTADO DE HIDALGO </t>
  </si>
  <si>
    <t xml:space="preserve">AEEH/DG/0874/2026, DE FECHA 28/08/2026, ENVIADO AL ING. OCTAVIO GÓMEZ PAULIN, COORDINADOR DE GESTIÓN INSTITUCIONAL </t>
  </si>
  <si>
    <t xml:space="preserve">AEEH/DG/0875/2026, DE FECHA 28/08/2026, ENVIADO AL ING. OCTAVIO GÓMEZ PAULIN, COORDINADOR DE GESTIÓN INSTITUCIONAL </t>
  </si>
  <si>
    <t xml:space="preserve">AEEH/DG/0773/2026, DE FECHA 10/08/2026, ENVIADO AL MTRO. ANDRÉS MANNING NOVALES, TITULAR DE LA COEMERE </t>
  </si>
  <si>
    <t>SDE-SIES-00347-26</t>
  </si>
  <si>
    <t xml:space="preserve">AEEH/DG/0805/2026, DE FECHA 14/08/2026, ENVIADO AL ARQ. ERNESTO CADENA ACOSTA SUBSECRETARIO DE INVERSIONES Y ECONOMÍA SECTORIAL DE LA SECRETARÍA DE DESARROLLO ECONÓMICO (SEDECO)
NO SE CARGO EN SIGA PORQUE VENCIÓ EL PERIODO, SE ENVÍO POR CORREO ELECTRÓNICO Y SE ENTREGO EN LA SUBSECRETARIA  </t>
  </si>
  <si>
    <t>AEEH-2*1S/07-2026 DOCUMENTOS PARA CONOCIMIENTO</t>
  </si>
  <si>
    <t>SDE-DPLAN-00365-26</t>
  </si>
  <si>
    <t xml:space="preserve">NO SE ASISTE AL TALLER </t>
  </si>
  <si>
    <t>SDE-UC-00784-26</t>
  </si>
  <si>
    <t xml:space="preserve">AEEH/DG/0884/2026, DE FECHA 31/08/2026, ENVIADO AL PROF. MIGUEL ÁNGEL PEÑA FLORES, PRESIDENTE MUNICIPAL CONSTITUCIONAL DEL H. AYUNTAMIENTO DE MIXQUIAHUALA DE JUÁREZ. </t>
  </si>
  <si>
    <t>734</t>
  </si>
  <si>
    <t>735</t>
  </si>
  <si>
    <t>736</t>
  </si>
  <si>
    <t>732</t>
  </si>
  <si>
    <t>RNP-1739-2026</t>
  </si>
  <si>
    <t xml:space="preserve">SEGUIMIENTO AL TURNO 673. RESPUESTA A OFICIO AEEH/DG/0830/2026, SE EMITE A INVITACIÓN PARA QUE EL C.  WILEVALDO NAJERA TORRES, SE PRESENTE EN LA CFE ZONA PACHUCA, OFICINA DE AJUSTES PARA RECIBIR EXPLICACIÓN DEL ADEUDO Y OPCIONES DE PAGO PARA SU REGULARIZACIÓN . </t>
  </si>
  <si>
    <t>RNP-335-2026</t>
  </si>
  <si>
    <t xml:space="preserve">AEEH/DG/0820/2026, DE FECHA 18/08/2026, ENVIADO AL ING. RAFAEL NAVARRO PÉREZ, SUPERINTENDENTE DE CFE DISTRIBUCIÓN ZONA PACHUCA  </t>
  </si>
  <si>
    <t>SEGUIMIENTO AL TURNO 520. RESPUESTA A OFICIO AEEH/DG/0820/2026, EL 26 DE AGOSTO, SE INSPECCIONÓ EL TRANSFORMADOR Y SE MEJORÓ EL NIVEL DE VOLTAJE DEL SERVICIO, EL 02 DE SEPTIEMBRE SE DARÁ MANTENIMIENTO EN LA RED DEL TRANSFORMADOR .
DIEGO GÓMEZ PÉREZ</t>
  </si>
  <si>
    <t>CFE/DIS/COR/DELEC-0489/2026</t>
  </si>
  <si>
    <t>SEGUIMIENTO AL TURNO 523, RESPUESTA A OFICIO AEEH/DG/0819/2026, SE INFORMA QUE LA SOLICITUD DEL C.  EFRAÍN ACOSTA HERNÁNDEZ CORRESPONDE A ALUMBRADO PÍBLICO POR LO QUE NO ES AMBITO DE LA CFE</t>
  </si>
  <si>
    <t>CFE/DIS/COR/DELEC-0489/2026,</t>
  </si>
  <si>
    <t>S/N
CORREO ELECTRONICO</t>
  </si>
  <si>
    <t>LA ASOCIACIÓN NACIONAL DE ENERGÍA SOLAR, INVITA A PARTICIPAR E LA 50° SEMANA NACIONAL DE ENERGÍA SOLAR (SNES 2026) DEL 05 AL 09 DE OCTUBRE EN LA TORRE DE INGENIERÍA DE LA UNAM, CDMX.</t>
  </si>
  <si>
    <t>737</t>
  </si>
  <si>
    <t>TELECOM/CT/JD/0034/2026</t>
  </si>
  <si>
    <t>SEGUIMIENTO AL TURNO 594, EL JEFE DE DISCIPLINA DE CFE TELECOM DA RESPUESTA AL OFICIO AEEH/DG/0733/2026, RESPECTO A LA PETICIÓN DE LA C. MARINA RAMIREZ SANCHEZ, PRESIDENTA MUNICIPAL DE ALMOLOYA</t>
  </si>
  <si>
    <t>739</t>
  </si>
  <si>
    <t>SEDECO/CAyP/082/2026</t>
  </si>
  <si>
    <t xml:space="preserve">DIEGO, SANDY, ORLANDO </t>
  </si>
  <si>
    <t>LA COORDINACIÓN DE ADMINISTRACIÓN Y PLANEACIÓN DE SEDECO SOLICITA REVISAR Y EMITIR VISTO BUENO DE 5 PRODUCTOS EN MATERIA DE DESARROLLO ECONOMICO, ESTO CON LA FINALIDAD DE INTEGRAR EL COMPENDIO DEL LABORATORIO ESTATAL DE POLÍTICAS PÚBLICAS DEL CEIEG</t>
  </si>
  <si>
    <t>ARQ. ORLANDO
ING. SANDRA
ARQ. DIEGO</t>
  </si>
  <si>
    <t>733</t>
  </si>
  <si>
    <t>CIRCULAR NO. 01</t>
  </si>
  <si>
    <t xml:space="preserve">LA DIRECCIÓN JURÍDICA DE SEDECO, INFORMA EL PROCESO DE REMISIÓN DE DOCUMENTOS TALES COMO ACUERDOS, REGLAMENTOS, LEYES Y REGLAS DE OPERACIÓN. </t>
  </si>
  <si>
    <t>DE CONOCIMIENTO</t>
  </si>
  <si>
    <t>741</t>
  </si>
  <si>
    <t>CFE/DIS/COR/DELEC-0504/2026</t>
  </si>
  <si>
    <t>DIEGO</t>
  </si>
  <si>
    <t xml:space="preserve">AEEH/DG/0840/2026 DE FECHA 19/08/2026, ENVIADO AL ING. RAFAEL NAVARRO PÉREZ, SUPERINTENDENTE DE CFE ZONA PACHUCA </t>
  </si>
  <si>
    <t>SEGUIMIENTO AL TURNO 532, CFE ZONA PACHUCA DE RESPUESTA AL OFICIO AEEH/DG/0840/2026, DEL C. SEVERO VALENCIA LÓPEZ DEL MUNICIPIO DE EL ARENAL, INFORMA QUE LA ELECTRIFICACIÓN EN LA PLAZA DE TOROS NO SERÁ CONSIDERADA EN LOS PROGRAMAS DE ELECTRIFICACIÓN DE CFE.</t>
  </si>
  <si>
    <t>744</t>
  </si>
  <si>
    <t>SEDECO/0970/2026</t>
  </si>
  <si>
    <t xml:space="preserve">EL TITULAR DE LA SECRETARÍA DE DESARROLLO ECONÓMICO, SOLICITA CAPTURAR, REVISAR, ACTUALIZAR Y PUBLICAR LOS TRÁMITES Y/O SERVICIOS OFERTADOS POR LA AEEH, EN LA PLATAFORMA RUTS 2.0  </t>
  </si>
  <si>
    <t xml:space="preserve">LA PRESIDENTA MUNICIPAL DE ALMOLOYA SOLICITA EL APOYO PARA REALIZAR UN ESTUDIO DE FACTIBILIDAD Y CONOCER SI ES ADECUADO UTILIZAR LA INFRAESTRUCTURA DE TELECOMUNICACIONES EN LA CABECERA MUNICIPAL </t>
  </si>
  <si>
    <t xml:space="preserve">AEEH/DG/656/2026, DE FECHA 13/07/2026, ENVIADO AL ING. OCTAVIO GOMEZ PAULIN, COORDINADOR DE GESTIÓN INSTITUCIONAL 
AEEH/DG/0916/2026, DE FECHA 11/09/2026, ENVIADO AL ING. OCTAVIO GOMEZ PAULIN, COORDINADOR DE GESTIÓN INSTITUCIONAL </t>
  </si>
  <si>
    <t>SDE-AEEH-00435-26</t>
  </si>
  <si>
    <t xml:space="preserve">LA SUBSECRETARIA DE POLÍTICA AMBIENTAL, SOLICITA PLANES, PROGRAMASY PROYECTOS PARA LA CONSULTA PÚBLICA DEL PROGRAMA DE ORDENAMIETNO ECOLÓGICO LOCAL (POEL)  EN EL MUNICIPIO DE HUICHAPAN </t>
  </si>
  <si>
    <t>AEEH/DG/09/01/2026, DE FECHA 07/09/2026, ENVIADO AL BIÓL. MAGDALENO CERVANTES BAUTISTA, SUBSECRETARIO DE POLÍTICA AMBIENTAL DE LA SECRETARÍA DE MEDIO AMBIENTE Y RECURSOS NATURALES DEL ESTADO DE HIDALGO.</t>
  </si>
  <si>
    <t xml:space="preserve">AEEH/DG/0732/2026, DE FECHA 04/08/2026, ENVIADO A LA C. MARÍA MARINA RAMÍREZ SÁNCHEZ, PRESIDENTA MUNICIPAL DE ALMOLOYA.  
AEEH/DG/0914/2026, DE FECHA 11/09/2026, ENVIADO A LA C. MARÍA MARINA RAMÍREZ SÁNCHEZ, PRESIDENTA MUNICIPAL DE ALMOLOYA.  </t>
  </si>
  <si>
    <t>DE CONOCIMIENTO, SE CONTACTA A CADA UNO DE LOS PETICIONARIOS, AÑO 2023, 2024 Y 2025</t>
  </si>
  <si>
    <t xml:space="preserve">ARQ. ORLANDO MARTÍNEZ E ING. FRANCISCO CALLEJAS, ASISTEN A LA REUNIÓN, SE ELABORA REPORTE DE ACTIVIDADES.
LA SESIÓN PROGRAMADA PARA EL 21 DE JUNIO, SE CANCELA VIA CORREO ELECTRÓNICO. </t>
  </si>
  <si>
    <t>SDE-STR-00931-26</t>
  </si>
  <si>
    <t xml:space="preserve">ATENDER A JUAN LOPEZ TELLEZ, QUIEN SOLICITA LA MODERNIZACIÓN Y REUBICACIÓN DE LA RED ELECTRICA DE SU LOCALIDAD </t>
  </si>
  <si>
    <t xml:space="preserve">AEEH/DG/0731/2026, DE FECHA 03/08/2026, ENVIADO AL ING. HUGO ALEJANDRO ABUNDIS GONZÁLEZ, SUPERINTENDENTE DE LA COMISIÓN FEDERAL DE ELECTRICIDAD </t>
  </si>
  <si>
    <t xml:space="preserve">AEEH/DG/0731/2026, DE FECHA 03/08/2026, ENVIADO AL ING. HUGO ALEJANDRO ABUNDIS GONZÁLEZ </t>
  </si>
  <si>
    <t>SDE-DPLAN-00372-26</t>
  </si>
  <si>
    <t xml:space="preserve">AEEH/DG/0925/2026, DE FECHA 18/09/2026, ENVIADO A LA MTRA. JESSICA ESPERANZA GONZÁLEZ DÍAZ, COORDINADORA DE ADMINISTRACIÓN Y PLANEACIÓN SEDECO </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</si>
</sst>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0"/>
      <name val="Arial"/>
    </font>
    <font>
      <sz val="11"/>
      <color theme="1"/>
      <name val="Calibri"/>
      <family val="2"/>
      <scheme val="minor"/>
    </font>
    <font>
      <sz val="10"/>
      <name val="Arial"/>
      <family val="2"/>
    </font>
    <font>
      <sz val="8"/>
      <name val="Calibri"/>
      <family val="2"/>
      <scheme val="minor"/>
    </font>
    <font>
      <b/>
      <sz val="10"/>
      <name val="Montserrat"/>
      <family val="3"/>
    </font>
    <font>
      <sz val="8"/>
      <name val="Arial"/>
      <family val="2"/>
    </font>
    <font>
      <b/>
      <sz val="10"/>
      <color theme="0"/>
      <name val="Montserrat"/>
      <family val="3"/>
    </font>
    <font>
      <sz val="10"/>
      <name val="Montserrat"/>
      <family val="3"/>
    </font>
    <font>
      <b/>
      <sz val="11"/>
      <color theme="1"/>
      <name val="Montserrat Medium"/>
      <family val="3"/>
    </font>
    <font>
      <b/>
      <sz val="16"/>
      <color theme="1"/>
      <name val="Montserrat Medium"/>
      <family val="3"/>
    </font>
    <font>
      <b/>
      <sz val="10"/>
      <name val="Montserrat"/>
      <family val="3"/>
    </font>
    <font>
      <sz val="10"/>
      <color rgb="FF0A0A0A"/>
      <name val="Arial Unicode MS"/>
      <family val="2"/>
    </font>
    <font>
      <b/>
      <sz val="10"/>
      <name val="Arial"/>
      <family val="2"/>
    </font>
    <font>
      <b/>
      <sz val="10"/>
      <name val="Montserrat"/>
      <family val="3"/>
    </font>
    <font>
      <b/>
      <sz val="11"/>
      <name val="Montserrat"/>
      <family val="3"/>
    </font>
    <font>
      <sz val="10"/>
      <name val="Montserrat"/>
      <family val="3"/>
    </font>
    <font>
      <b/>
      <sz val="10"/>
      <color theme="0"/>
      <name val="Montserrat"/>
      <family val="3"/>
    </font>
    <font>
      <u/>
      <sz val="10"/>
      <color theme="10"/>
      <name val="Arial"/>
      <family val="2"/>
    </font>
    <font>
      <sz val="8"/>
      <color rgb="FF404040"/>
      <name val="Calibri"/>
      <family val="2"/>
      <scheme val="minor"/>
    </font>
    <font>
      <sz val="10"/>
      <color rgb="FF111111"/>
      <name val="Arial"/>
      <family val="2"/>
    </font>
    <font>
      <b/>
      <sz val="15"/>
      <color theme="1"/>
      <name val="Montserrat Medium"/>
      <family val="3"/>
    </font>
    <font>
      <b/>
      <u/>
      <sz val="15"/>
      <color theme="1"/>
      <name val="Montserrat Medium"/>
      <family val="3"/>
    </font>
  </fonts>
  <fills count="7">
    <fill>
      <patternFill patternType="none"/>
    </fill>
    <fill>
      <patternFill patternType="gray125"/>
    </fill>
    <fill>
      <patternFill patternType="solid">
        <fgColor theme="0" tint="-0.14999847407452621"/>
        <bgColor indexed="64"/>
      </patternFill>
    </fill>
    <fill>
      <patternFill patternType="solid">
        <fgColor rgb="FF993366"/>
        <bgColor indexed="64"/>
      </patternFill>
    </fill>
    <fill>
      <patternFill patternType="solid">
        <fgColor theme="0"/>
        <bgColor indexed="64"/>
      </patternFill>
    </fill>
    <fill>
      <patternFill patternType="solid">
        <fgColor rgb="FFCCFF99"/>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bottom/>
      <diagonal/>
    </border>
  </borders>
  <cellStyleXfs count="4">
    <xf numFmtId="0" fontId="0" fillId="0" borderId="0"/>
    <xf numFmtId="0" fontId="2" fillId="0" borderId="0"/>
    <xf numFmtId="0" fontId="1"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horizontal="center"/>
    </xf>
    <xf numFmtId="0" fontId="0" fillId="0" borderId="1" xfId="0" applyBorder="1" applyAlignment="1">
      <alignment horizontal="center"/>
    </xf>
    <xf numFmtId="0" fontId="2" fillId="0" borderId="1" xfId="0" applyFont="1" applyBorder="1" applyAlignment="1">
      <alignment vertical="center" wrapText="1"/>
    </xf>
    <xf numFmtId="0" fontId="2" fillId="0" borderId="1" xfId="0" applyFont="1" applyBorder="1" applyAlignment="1">
      <alignment wrapText="1"/>
    </xf>
    <xf numFmtId="0" fontId="0" fillId="0" borderId="1" xfId="0" applyBorder="1" applyAlignment="1">
      <alignment wrapText="1"/>
    </xf>
    <xf numFmtId="0" fontId="2" fillId="0" borderId="1" xfId="0" applyFont="1" applyBorder="1" applyAlignment="1">
      <alignment vertical="center"/>
    </xf>
    <xf numFmtId="0" fontId="0" fillId="0" borderId="1" xfId="0" applyBorder="1"/>
    <xf numFmtId="0" fontId="2" fillId="0" borderId="3" xfId="0" applyFont="1" applyBorder="1" applyAlignment="1">
      <alignment vertical="center"/>
    </xf>
    <xf numFmtId="0" fontId="0" fillId="0" borderId="0" xfId="0" applyAlignment="1">
      <alignment horizontal="center" vertical="center"/>
    </xf>
    <xf numFmtId="0" fontId="6" fillId="3" borderId="2" xfId="0" applyFont="1" applyFill="1" applyBorder="1" applyAlignment="1">
      <alignment horizontal="center" vertical="center" wrapText="1"/>
    </xf>
    <xf numFmtId="1" fontId="0" fillId="0" borderId="0" xfId="0" applyNumberFormat="1"/>
    <xf numFmtId="0" fontId="1" fillId="0" borderId="0" xfId="2"/>
    <xf numFmtId="0" fontId="1" fillId="0" borderId="1" xfId="2" applyBorder="1"/>
    <xf numFmtId="0" fontId="8" fillId="2" borderId="1" xfId="2" applyFont="1" applyFill="1" applyBorder="1" applyAlignment="1">
      <alignment horizontal="center" vertical="center" wrapText="1" shrinkToFit="1"/>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14" fontId="0" fillId="0" borderId="0" xfId="0" applyNumberFormat="1" applyAlignment="1">
      <alignment horizontal="center" vertical="center"/>
    </xf>
    <xf numFmtId="0" fontId="0" fillId="4" borderId="0" xfId="0" applyFill="1" applyAlignment="1">
      <alignment horizontal="center" vertical="center"/>
    </xf>
    <xf numFmtId="0" fontId="2" fillId="0" borderId="1" xfId="0" applyFont="1" applyBorder="1" applyAlignment="1">
      <alignment horizontal="center" vertical="center"/>
    </xf>
    <xf numFmtId="0" fontId="6" fillId="3" borderId="1" xfId="0" applyFont="1" applyFill="1" applyBorder="1" applyAlignment="1">
      <alignment horizontal="center" vertical="center" wrapText="1"/>
    </xf>
    <xf numFmtId="0" fontId="7" fillId="0" borderId="1" xfId="0" applyFont="1" applyBorder="1" applyAlignment="1">
      <alignment horizontal="center" vertical="center"/>
    </xf>
    <xf numFmtId="0" fontId="0" fillId="0" borderId="1" xfId="0" applyBorder="1" applyAlignment="1">
      <alignment horizontal="center" vertical="center"/>
    </xf>
    <xf numFmtId="0" fontId="2" fillId="0" borderId="0" xfId="0" applyFont="1"/>
    <xf numFmtId="0" fontId="11" fillId="0" borderId="0" xfId="0" applyFont="1" applyAlignment="1">
      <alignment horizontal="lef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4" fillId="4" borderId="1" xfId="0" applyFont="1" applyFill="1" applyBorder="1" applyAlignment="1">
      <alignment horizontal="center" vertical="center"/>
    </xf>
    <xf numFmtId="0" fontId="12" fillId="0" borderId="1" xfId="0" applyFont="1" applyBorder="1" applyAlignment="1">
      <alignment horizontal="center" vertical="center"/>
    </xf>
    <xf numFmtId="0" fontId="4" fillId="0" borderId="1" xfId="0" applyFont="1" applyBorder="1" applyAlignment="1">
      <alignment horizontal="center" vertical="center"/>
    </xf>
    <xf numFmtId="0" fontId="2" fillId="0" borderId="3" xfId="0" applyFont="1" applyBorder="1"/>
    <xf numFmtId="1" fontId="0" fillId="0" borderId="1" xfId="0" applyNumberFormat="1" applyBorder="1"/>
    <xf numFmtId="1" fontId="0" fillId="0" borderId="1" xfId="0" applyNumberFormat="1" applyBorder="1" applyAlignment="1">
      <alignment horizontal="center" vertical="center"/>
    </xf>
    <xf numFmtId="0" fontId="8" fillId="2" borderId="1" xfId="0" applyFont="1" applyFill="1" applyBorder="1" applyAlignment="1">
      <alignment vertical="center" wrapText="1" shrinkToFit="1"/>
    </xf>
    <xf numFmtId="49" fontId="3" fillId="0" borderId="1" xfId="0" applyNumberFormat="1" applyFont="1" applyBorder="1" applyAlignment="1">
      <alignment horizontal="center" vertical="center" wrapText="1"/>
    </xf>
    <xf numFmtId="0" fontId="13" fillId="0" borderId="1" xfId="0" applyFont="1" applyBorder="1" applyAlignment="1">
      <alignment horizontal="center"/>
    </xf>
    <xf numFmtId="0" fontId="15" fillId="0" borderId="1" xfId="0" applyFont="1" applyBorder="1" applyAlignment="1">
      <alignment vertical="center"/>
    </xf>
    <xf numFmtId="0" fontId="15" fillId="0" borderId="1" xfId="0" applyFont="1" applyBorder="1"/>
    <xf numFmtId="0" fontId="15" fillId="0" borderId="1" xfId="0" applyFont="1" applyBorder="1" applyAlignment="1">
      <alignment wrapText="1"/>
    </xf>
    <xf numFmtId="0" fontId="15" fillId="0" borderId="1" xfId="0" applyFont="1" applyBorder="1" applyAlignment="1">
      <alignment horizontal="center" vertical="center" wrapText="1"/>
    </xf>
    <xf numFmtId="0" fontId="14" fillId="0" borderId="1" xfId="0" applyFont="1" applyBorder="1" applyAlignment="1">
      <alignment horizontal="center" vertical="center"/>
    </xf>
    <xf numFmtId="0" fontId="13" fillId="3" borderId="1" xfId="0" applyFont="1" applyFill="1" applyBorder="1" applyAlignment="1">
      <alignment horizontal="center" wrapText="1"/>
    </xf>
    <xf numFmtId="0" fontId="15" fillId="0" borderId="0" xfId="0" applyFont="1" applyAlignment="1">
      <alignment horizontal="center" vertical="center" wrapText="1"/>
    </xf>
    <xf numFmtId="0" fontId="13" fillId="0" borderId="0" xfId="0" applyFont="1" applyAlignment="1">
      <alignment horizontal="center"/>
    </xf>
    <xf numFmtId="0" fontId="13" fillId="0" borderId="0" xfId="0" applyFont="1" applyAlignment="1">
      <alignment horizontal="center" wrapText="1"/>
    </xf>
    <xf numFmtId="0" fontId="15" fillId="0" borderId="2" xfId="0" applyFont="1" applyBorder="1"/>
    <xf numFmtId="0" fontId="13" fillId="0" borderId="1" xfId="0" applyFont="1" applyBorder="1"/>
    <xf numFmtId="0" fontId="15" fillId="0" borderId="1" xfId="0" applyFont="1" applyBorder="1" applyAlignment="1">
      <alignment horizontal="center" vertical="center"/>
    </xf>
    <xf numFmtId="0" fontId="13" fillId="0" borderId="1" xfId="0" applyFont="1" applyBorder="1" applyAlignment="1">
      <alignment horizontal="center" vertical="center"/>
    </xf>
    <xf numFmtId="0" fontId="4"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5" fillId="0" borderId="2" xfId="0" applyFont="1" applyBorder="1" applyAlignment="1">
      <alignment horizontal="left" vertical="center"/>
    </xf>
    <xf numFmtId="0" fontId="15" fillId="0" borderId="1" xfId="0" applyFont="1" applyBorder="1" applyAlignment="1">
      <alignment horizontal="left" vertical="center"/>
    </xf>
    <xf numFmtId="0" fontId="16" fillId="3" borderId="1" xfId="0" applyFont="1" applyFill="1" applyBorder="1" applyAlignment="1">
      <alignment horizontal="center" vertical="center" wrapText="1"/>
    </xf>
    <xf numFmtId="0" fontId="15" fillId="0" borderId="0" xfId="0"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wrapText="1"/>
    </xf>
    <xf numFmtId="0" fontId="15" fillId="0" borderId="1" xfId="0" applyFont="1" applyBorder="1" applyAlignment="1">
      <alignment horizontal="center"/>
    </xf>
    <xf numFmtId="0" fontId="14" fillId="0" borderId="0" xfId="0" applyFont="1" applyAlignment="1">
      <alignment horizontal="center" vertical="center"/>
    </xf>
    <xf numFmtId="0" fontId="4" fillId="0" borderId="0" xfId="0" applyFont="1" applyAlignment="1">
      <alignment horizontal="center" vertical="center" wrapText="1"/>
    </xf>
    <xf numFmtId="0" fontId="3" fillId="0" borderId="1" xfId="0" applyFont="1" applyBorder="1" applyAlignment="1">
      <alignment horizontal="center" vertical="center"/>
    </xf>
    <xf numFmtId="0" fontId="10" fillId="5" borderId="8"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0" fontId="17" fillId="0" borderId="1" xfId="3" applyFill="1" applyBorder="1" applyAlignment="1">
      <alignment horizontal="center" vertical="center" wrapText="1"/>
    </xf>
    <xf numFmtId="0" fontId="7" fillId="0" borderId="1" xfId="0" applyFont="1" applyBorder="1" applyAlignment="1">
      <alignment vertical="center"/>
    </xf>
    <xf numFmtId="0" fontId="18" fillId="0" borderId="1" xfId="0" applyFont="1" applyBorder="1" applyAlignment="1">
      <alignment horizontal="center" vertical="center" wrapText="1" readingOrder="1"/>
    </xf>
    <xf numFmtId="0" fontId="4" fillId="0" borderId="1" xfId="0" applyFont="1" applyBorder="1" applyAlignment="1">
      <alignment horizontal="center" vertical="center" wrapText="1"/>
    </xf>
    <xf numFmtId="0" fontId="13" fillId="4" borderId="1" xfId="0" applyFont="1" applyFill="1" applyBorder="1" applyAlignment="1">
      <alignment horizontal="center"/>
    </xf>
    <xf numFmtId="0" fontId="6" fillId="3" borderId="1" xfId="0" applyFont="1" applyFill="1" applyBorder="1" applyAlignment="1">
      <alignment horizontal="center" vertical="top" wrapText="1"/>
    </xf>
    <xf numFmtId="0" fontId="15" fillId="0" borderId="2" xfId="0" applyFont="1" applyBorder="1" applyAlignment="1">
      <alignment horizontal="center" vertical="center"/>
    </xf>
    <xf numFmtId="0" fontId="4" fillId="5" borderId="9"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5" fillId="0" borderId="1" xfId="0" applyFont="1" applyBorder="1" applyAlignment="1">
      <alignment horizontal="center" vertical="center" wrapText="1"/>
    </xf>
    <xf numFmtId="1" fontId="3" fillId="6" borderId="1" xfId="0" applyNumberFormat="1" applyFont="1" applyFill="1" applyBorder="1" applyAlignment="1">
      <alignment horizontal="center" vertical="center"/>
    </xf>
    <xf numFmtId="0" fontId="3" fillId="0" borderId="1" xfId="0" applyFont="1" applyBorder="1" applyAlignment="1">
      <alignment horizontal="center" vertical="top" wrapText="1"/>
    </xf>
    <xf numFmtId="0" fontId="3" fillId="0" borderId="1" xfId="0" applyFont="1" applyFill="1" applyBorder="1" applyAlignment="1">
      <alignment horizontal="center" vertical="center" wrapText="1"/>
    </xf>
    <xf numFmtId="1" fontId="3" fillId="0" borderId="1" xfId="0" applyNumberFormat="1" applyFont="1" applyFill="1" applyBorder="1" applyAlignment="1">
      <alignment horizontal="center" vertical="center"/>
    </xf>
    <xf numFmtId="0" fontId="0" fillId="0" borderId="0" xfId="0" applyNumberFormat="1"/>
    <xf numFmtId="0" fontId="12" fillId="0" borderId="1" xfId="0" applyFont="1" applyBorder="1" applyAlignment="1">
      <alignment vertical="center"/>
    </xf>
    <xf numFmtId="0" fontId="13" fillId="4" borderId="1" xfId="0" applyFont="1" applyFill="1" applyBorder="1" applyAlignment="1">
      <alignment horizontal="center"/>
    </xf>
    <xf numFmtId="49"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xf>
    <xf numFmtId="0" fontId="12" fillId="0" borderId="0" xfId="0" applyFont="1" applyBorder="1" applyAlignment="1">
      <alignment horizontal="center" vertical="center"/>
    </xf>
    <xf numFmtId="0" fontId="6" fillId="0" borderId="0" xfId="0" applyFont="1" applyFill="1" applyBorder="1" applyAlignment="1">
      <alignment horizontal="center" vertical="center" wrapText="1"/>
    </xf>
    <xf numFmtId="0" fontId="13" fillId="0" borderId="10" xfId="0" applyFont="1" applyBorder="1"/>
    <xf numFmtId="0" fontId="13" fillId="0" borderId="10" xfId="0" applyFont="1" applyBorder="1" applyAlignment="1">
      <alignment horizontal="center" vertical="center"/>
    </xf>
    <xf numFmtId="1" fontId="0" fillId="0" borderId="5" xfId="0" applyNumberFormat="1" applyBorder="1" applyAlignment="1">
      <alignment horizontal="center" vertical="center"/>
    </xf>
    <xf numFmtId="0" fontId="12" fillId="0" borderId="1" xfId="0" applyFont="1" applyBorder="1" applyAlignment="1">
      <alignment horizontal="center"/>
    </xf>
    <xf numFmtId="1" fontId="12" fillId="0" borderId="1" xfId="0" applyNumberFormat="1" applyFont="1" applyBorder="1" applyAlignment="1">
      <alignment horizontal="center"/>
    </xf>
    <xf numFmtId="1" fontId="12" fillId="0" borderId="1" xfId="0" applyNumberFormat="1" applyFont="1" applyBorder="1" applyAlignment="1">
      <alignment horizontal="center" vertical="center"/>
    </xf>
    <xf numFmtId="0" fontId="3" fillId="6" borderId="1" xfId="0" applyFont="1" applyFill="1" applyBorder="1" applyAlignment="1">
      <alignment horizontal="center" vertical="center" wrapText="1"/>
    </xf>
    <xf numFmtId="49" fontId="3" fillId="6"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xf>
    <xf numFmtId="0" fontId="3" fillId="0" borderId="1" xfId="0" applyFont="1" applyFill="1" applyBorder="1" applyAlignment="1">
      <alignment horizontal="left" vertical="center" wrapText="1"/>
    </xf>
    <xf numFmtId="0" fontId="7" fillId="0" borderId="1" xfId="0" applyFont="1" applyBorder="1" applyAlignment="1">
      <alignment wrapText="1"/>
    </xf>
    <xf numFmtId="0" fontId="0" fillId="0" borderId="3" xfId="0" applyBorder="1"/>
    <xf numFmtId="1" fontId="0" fillId="0" borderId="0" xfId="0" applyNumberFormat="1" applyBorder="1"/>
    <xf numFmtId="49" fontId="3" fillId="0" borderId="2" xfId="0" applyNumberFormat="1" applyFont="1" applyBorder="1" applyAlignment="1">
      <alignment horizontal="center" vertical="center"/>
    </xf>
    <xf numFmtId="0" fontId="3" fillId="0" borderId="2" xfId="0" applyFont="1" applyBorder="1" applyAlignment="1">
      <alignment horizontal="center" vertical="center" wrapText="1"/>
    </xf>
    <xf numFmtId="0" fontId="3" fillId="0" borderId="2" xfId="0" applyFont="1" applyFill="1" applyBorder="1" applyAlignment="1">
      <alignment horizontal="center" vertical="center" wrapText="1"/>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14" fontId="3" fillId="0" borderId="2" xfId="0" applyNumberFormat="1" applyFont="1" applyBorder="1" applyAlignment="1">
      <alignment horizontal="center" vertical="center" wrapText="1"/>
    </xf>
    <xf numFmtId="0" fontId="10" fillId="5" borderId="11" xfId="0" applyFont="1" applyFill="1" applyBorder="1" applyAlignment="1">
      <alignment horizontal="center" vertical="center"/>
    </xf>
    <xf numFmtId="0" fontId="4" fillId="5" borderId="11" xfId="0" applyFont="1" applyFill="1" applyBorder="1" applyAlignment="1">
      <alignment horizontal="center" vertical="center" wrapText="1"/>
    </xf>
    <xf numFmtId="14" fontId="10" fillId="5" borderId="9" xfId="0" applyNumberFormat="1" applyFont="1" applyFill="1" applyBorder="1" applyAlignment="1">
      <alignment horizontal="center" vertical="center" wrapText="1"/>
    </xf>
    <xf numFmtId="0" fontId="4" fillId="5" borderId="12" xfId="0" applyFont="1" applyFill="1" applyBorder="1" applyAlignment="1">
      <alignment horizontal="center" vertical="center" wrapText="1"/>
    </xf>
    <xf numFmtId="0" fontId="4" fillId="5" borderId="6" xfId="0" applyFont="1" applyFill="1" applyBorder="1" applyAlignment="1">
      <alignment horizontal="center" vertical="center" wrapText="1"/>
    </xf>
    <xf numFmtId="49" fontId="3" fillId="0" borderId="2" xfId="0" applyNumberFormat="1" applyFont="1" applyBorder="1" applyAlignment="1">
      <alignment horizontal="center" vertical="center" wrapText="1"/>
    </xf>
    <xf numFmtId="14" fontId="3" fillId="6" borderId="1" xfId="0" applyNumberFormat="1" applyFont="1" applyFill="1" applyBorder="1" applyAlignment="1">
      <alignment horizontal="center" vertical="center"/>
    </xf>
    <xf numFmtId="14" fontId="3" fillId="6" borderId="1" xfId="0" applyNumberFormat="1" applyFont="1" applyFill="1" applyBorder="1" applyAlignment="1">
      <alignment horizontal="center" vertical="center" wrapText="1"/>
    </xf>
    <xf numFmtId="49" fontId="3" fillId="6" borderId="1" xfId="0" applyNumberFormat="1" applyFont="1" applyFill="1" applyBorder="1" applyAlignment="1">
      <alignment horizontal="center" vertical="center"/>
    </xf>
    <xf numFmtId="0" fontId="3" fillId="0" borderId="1" xfId="0" applyFont="1" applyBorder="1" applyAlignment="1">
      <alignment horizontal="center" wrapText="1"/>
    </xf>
    <xf numFmtId="0" fontId="3" fillId="0" borderId="1" xfId="0" applyFont="1" applyBorder="1" applyAlignment="1">
      <alignment horizontal="left" vertical="center" wrapText="1"/>
    </xf>
    <xf numFmtId="0" fontId="19" fillId="0" borderId="1" xfId="0" applyFont="1" applyBorder="1" applyAlignment="1">
      <alignment horizontal="center" vertical="center"/>
    </xf>
    <xf numFmtId="0" fontId="0" fillId="0" borderId="0" xfId="0" applyBorder="1" applyAlignment="1">
      <alignment horizontal="center" vertical="center"/>
    </xf>
    <xf numFmtId="0" fontId="2" fillId="0" borderId="1" xfId="0" applyFont="1" applyFill="1" applyBorder="1" applyAlignment="1">
      <alignment vertical="center"/>
    </xf>
    <xf numFmtId="0" fontId="13" fillId="0" borderId="0" xfId="0" applyFont="1" applyBorder="1" applyAlignment="1">
      <alignment horizontal="center"/>
    </xf>
    <xf numFmtId="0" fontId="14" fillId="0" borderId="0" xfId="0" applyFont="1" applyBorder="1" applyAlignment="1">
      <alignment horizontal="center" vertical="center"/>
    </xf>
    <xf numFmtId="0" fontId="10" fillId="5" borderId="11" xfId="0" applyFont="1" applyFill="1" applyBorder="1" applyAlignment="1">
      <alignment horizontal="center" vertical="center" wrapText="1"/>
    </xf>
    <xf numFmtId="0" fontId="3" fillId="0" borderId="4" xfId="0" applyFont="1" applyBorder="1" applyAlignment="1">
      <alignment horizontal="center" vertical="center" wrapText="1"/>
    </xf>
    <xf numFmtId="14" fontId="3" fillId="0" borderId="4" xfId="0" applyNumberFormat="1" applyFont="1" applyBorder="1" applyAlignment="1">
      <alignment horizontal="center" vertical="center"/>
    </xf>
    <xf numFmtId="0" fontId="3" fillId="0" borderId="4" xfId="0" applyFont="1" applyBorder="1" applyAlignment="1">
      <alignment horizontal="center" vertical="center"/>
    </xf>
    <xf numFmtId="0" fontId="4" fillId="5" borderId="5" xfId="0" applyFont="1" applyFill="1" applyBorder="1" applyAlignment="1">
      <alignment horizontal="center" vertical="center" wrapText="1"/>
    </xf>
    <xf numFmtId="0" fontId="10" fillId="5" borderId="9" xfId="0" applyFont="1" applyFill="1" applyBorder="1" applyAlignment="1">
      <alignment horizontal="center" vertical="center" wrapText="1"/>
    </xf>
    <xf numFmtId="14" fontId="3" fillId="0" borderId="5"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0" fontId="3" fillId="0" borderId="6" xfId="0" applyFont="1" applyBorder="1" applyAlignment="1">
      <alignment horizontal="center" vertical="center" wrapText="1"/>
    </xf>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3" fillId="0" borderId="4" xfId="0" applyFont="1" applyFill="1" applyBorder="1" applyAlignment="1">
      <alignment horizontal="center" vertical="center" wrapText="1"/>
    </xf>
    <xf numFmtId="0" fontId="3" fillId="6" borderId="2" xfId="0" applyFont="1" applyFill="1" applyBorder="1" applyAlignment="1">
      <alignment horizontal="center" vertical="center"/>
    </xf>
    <xf numFmtId="1" fontId="3" fillId="6" borderId="2" xfId="0" applyNumberFormat="1" applyFont="1" applyFill="1" applyBorder="1" applyAlignment="1">
      <alignment horizontal="center" vertical="center"/>
    </xf>
    <xf numFmtId="0" fontId="3" fillId="6" borderId="2" xfId="0" applyFont="1" applyFill="1" applyBorder="1" applyAlignment="1">
      <alignment horizontal="center" vertical="center" wrapText="1"/>
    </xf>
    <xf numFmtId="0" fontId="20" fillId="0" borderId="0" xfId="0" applyFont="1" applyBorder="1" applyAlignment="1">
      <alignment horizontal="center" vertical="center" wrapText="1"/>
    </xf>
    <xf numFmtId="0" fontId="0" fillId="0" borderId="1" xfId="0" applyBorder="1" applyAlignment="1">
      <alignment horizontal="center" vertical="center" wrapText="1"/>
    </xf>
    <xf numFmtId="0" fontId="0" fillId="0" borderId="13" xfId="0" applyBorder="1" applyAlignment="1">
      <alignment horizontal="center" vertical="center" wrapText="1"/>
    </xf>
    <xf numFmtId="0" fontId="7" fillId="0" borderId="4" xfId="0" applyFont="1" applyBorder="1" applyAlignment="1">
      <alignment horizontal="center" vertical="center"/>
    </xf>
    <xf numFmtId="0" fontId="15" fillId="0" borderId="6" xfId="0" applyFont="1" applyBorder="1" applyAlignment="1">
      <alignment horizontal="center" vertical="center"/>
    </xf>
    <xf numFmtId="0" fontId="15" fillId="0" borderId="5" xfId="0" applyFont="1" applyBorder="1" applyAlignment="1">
      <alignment horizontal="center" vertical="center"/>
    </xf>
    <xf numFmtId="0" fontId="13" fillId="4" borderId="1" xfId="0" applyFont="1" applyFill="1" applyBorder="1" applyAlignment="1">
      <alignment horizontal="center"/>
    </xf>
    <xf numFmtId="0" fontId="7" fillId="0" borderId="4"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4" xfId="0" applyFont="1" applyBorder="1" applyAlignment="1">
      <alignment horizontal="center" vertical="center"/>
    </xf>
    <xf numFmtId="0" fontId="6" fillId="3" borderId="4" xfId="0" applyFont="1" applyFill="1" applyBorder="1" applyAlignment="1">
      <alignment horizontal="center" vertical="center" wrapText="1"/>
    </xf>
    <xf numFmtId="0" fontId="16" fillId="3" borderId="6"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9" fillId="0" borderId="7" xfId="2" applyFont="1" applyBorder="1" applyAlignment="1">
      <alignment horizontal="left" vertical="center" wrapText="1"/>
    </xf>
  </cellXfs>
  <cellStyles count="4">
    <cellStyle name="Hipervínculo" xfId="3" builtinId="8"/>
    <cellStyle name="Normal" xfId="0" builtinId="0"/>
    <cellStyle name="Normal 2" xfId="1"/>
    <cellStyle name="Normal 3" xfId="2"/>
  </cellStyles>
  <dxfs count="23">
    <dxf>
      <alignment wrapText="1"/>
    </dxf>
    <dxf>
      <alignment wrapText="0"/>
    </dxf>
    <dxf>
      <alignment wrapText="1"/>
    </dxf>
    <dxf>
      <alignment wrapText="0"/>
    </dxf>
    <dxf>
      <alignment wrapText="0"/>
    </dxf>
    <dxf>
      <alignment wrapText="1"/>
    </dxf>
    <dxf>
      <alignment wrapText="0"/>
    </dxf>
    <dxf>
      <alignment wrapText="1"/>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5C5"/>
      <color rgb="FF660033"/>
      <color rgb="FFFEDAFC"/>
      <color rgb="FFFEE8FD"/>
      <color rgb="FFFFCCFF"/>
      <color rgb="FFCC99FF"/>
      <color rgb="FF993366"/>
      <color rgb="FF691C31"/>
      <color rgb="FFFF330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b="1">
                <a:solidFill>
                  <a:sysClr val="windowText" lastClr="000000"/>
                </a:solidFill>
                <a:latin typeface="Montserrat" panose="00000500000000000000" pitchFamily="2" charset="0"/>
              </a:rPr>
              <a:t>Ayuntamientos</a:t>
            </a:r>
            <a:r>
              <a:rPr lang="es-MX" b="1" baseline="0">
                <a:solidFill>
                  <a:sysClr val="windowText" lastClr="000000"/>
                </a:solidFill>
                <a:latin typeface="Montserrat" panose="00000500000000000000" pitchFamily="2" charset="0"/>
              </a:rPr>
              <a:t> con oficios ingresados 2026</a:t>
            </a:r>
          </a:p>
        </c:rich>
      </c:tx>
      <c:overlay val="0"/>
      <c:spPr>
        <a:noFill/>
        <a:ln>
          <a:noFill/>
        </a:ln>
        <a:effectLst/>
      </c:spPr>
    </c:title>
    <c:autoTitleDeleted val="0"/>
    <c:plotArea>
      <c:layout/>
      <c:pieChart>
        <c:varyColors val="1"/>
        <c:ser>
          <c:idx val="0"/>
          <c:order val="0"/>
          <c:dPt>
            <c:idx val="0"/>
            <c:bubble3D val="0"/>
            <c:spPr>
              <a:solidFill>
                <a:srgbClr val="FEDAFC"/>
              </a:solidFill>
              <a:ln w="19050">
                <a:solidFill>
                  <a:srgbClr val="FEDAFC"/>
                </a:solidFill>
              </a:ln>
              <a:effectLst/>
            </c:spPr>
            <c:extLst xmlns:c16r2="http://schemas.microsoft.com/office/drawing/2015/06/chart">
              <c:ext xmlns:c16="http://schemas.microsoft.com/office/drawing/2014/chart" uri="{C3380CC4-5D6E-409C-BE32-E72D297353CC}">
                <c16:uniqueId val="{00000002-8B61-44D3-9AEE-E2E265679613}"/>
              </c:ext>
            </c:extLst>
          </c:dPt>
          <c:dPt>
            <c:idx val="1"/>
            <c:bubble3D val="0"/>
            <c:spPr>
              <a:solidFill>
                <a:srgbClr val="660033"/>
              </a:solidFill>
              <a:ln w="19050">
                <a:solidFill>
                  <a:srgbClr val="660033"/>
                </a:solidFill>
              </a:ln>
              <a:effectLst/>
            </c:spPr>
            <c:extLst xmlns:c16r2="http://schemas.microsoft.com/office/drawing/2015/06/chart">
              <c:ext xmlns:c16="http://schemas.microsoft.com/office/drawing/2014/chart" uri="{C3380CC4-5D6E-409C-BE32-E72D297353CC}">
                <c16:uniqueId val="{00000001-8B61-44D3-9AEE-E2E265679613}"/>
              </c:ext>
            </c:extLst>
          </c:dPt>
          <c:dPt>
            <c:idx val="2"/>
            <c:bubble3D val="0"/>
            <c:spPr>
              <a:solidFill>
                <a:schemeClr val="bg1"/>
              </a:solidFill>
              <a:ln w="19050">
                <a:solidFill>
                  <a:schemeClr val="lt1"/>
                </a:solidFill>
              </a:ln>
              <a:effectLst/>
            </c:spPr>
            <c:extLst xmlns:c16r2="http://schemas.microsoft.com/office/drawing/2015/06/chart">
              <c:ext xmlns:c16="http://schemas.microsoft.com/office/drawing/2014/chart" uri="{C3380CC4-5D6E-409C-BE32-E72D297353CC}">
                <c16:uniqueId val="{00000005-AB02-446F-A86A-12B668EBA9A0}"/>
              </c:ext>
            </c:extLst>
          </c:dPt>
          <c:dPt>
            <c:idx val="3"/>
            <c:bubble3D val="0"/>
            <c:spPr>
              <a:solidFill>
                <a:schemeClr val="bg1"/>
              </a:solidFill>
              <a:ln w="19050">
                <a:solidFill>
                  <a:schemeClr val="lt1"/>
                </a:solidFill>
              </a:ln>
              <a:effectLst/>
            </c:spPr>
            <c:extLst xmlns:c16r2="http://schemas.microsoft.com/office/drawing/2015/06/chart">
              <c:ext xmlns:c16="http://schemas.microsoft.com/office/drawing/2014/chart" uri="{C3380CC4-5D6E-409C-BE32-E72D297353CC}">
                <c16:uniqueId val="{00000007-AB02-446F-A86A-12B668EBA9A0}"/>
              </c:ext>
            </c:extLst>
          </c:dPt>
          <c:dLbls>
            <c:dLbl>
              <c:idx val="0"/>
              <c:layout>
                <c:manualLayout>
                  <c:x val="-0.19569890705736165"/>
                  <c:y val="8.5356135358570479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ontserrat" panose="00000500000000000000" pitchFamily="2" charset="0"/>
                      <a:ea typeface="+mn-ea"/>
                      <a:cs typeface="+mn-cs"/>
                    </a:defRPr>
                  </a:pPr>
                  <a:endParaRPr lang="es-MX"/>
                </a:p>
              </c:txPr>
              <c:dLblPos val="bestFi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B61-44D3-9AEE-E2E265679613}"/>
                </c:ext>
                <c:ext xmlns:c15="http://schemas.microsoft.com/office/drawing/2012/chart" uri="{CE6537A1-D6FC-4f65-9D91-7224C49458BB}">
                  <c15:layout>
                    <c:manualLayout>
                      <c:w val="0.1936917387798503"/>
                      <c:h val="0.27952398970505044"/>
                    </c:manualLayout>
                  </c15:layout>
                </c:ext>
              </c:extLst>
            </c:dLbl>
            <c:dLbl>
              <c:idx val="1"/>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ontserrat" panose="00000500000000000000" pitchFamily="2" charset="0"/>
                      <a:ea typeface="+mn-ea"/>
                      <a:cs typeface="+mn-cs"/>
                    </a:defRPr>
                  </a:pPr>
                  <a:endParaRPr lang="es-MX"/>
                </a:p>
              </c:txPr>
              <c:dLblPos val="bestFi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B61-44D3-9AEE-E2E265679613}"/>
                </c:ext>
                <c:ext xmlns:c15="http://schemas.microsoft.com/office/drawing/2012/chart" uri="{CE6537A1-D6FC-4f65-9D91-7224C49458BB}">
                  <c15:spPr xmlns:c15="http://schemas.microsoft.com/office/drawing/2012/chart">
                    <a:prstGeom prst="rect">
                      <a:avLst/>
                    </a:prstGeom>
                  </c15:spPr>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ontserrat" panose="00000500000000000000" pitchFamily="2" charset="0"/>
                    <a:ea typeface="+mn-ea"/>
                    <a:cs typeface="+mn-cs"/>
                  </a:defRPr>
                </a:pPr>
                <a:endParaRPr lang="es-MX"/>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INDICADORES!$X$3:$Y$3</c:f>
              <c:strCache>
                <c:ptCount val="2"/>
                <c:pt idx="0">
                  <c:v>Municipios con solicitud</c:v>
                </c:pt>
                <c:pt idx="1">
                  <c:v>Municipios sin solicitud</c:v>
                </c:pt>
              </c:strCache>
            </c:strRef>
          </c:cat>
          <c:val>
            <c:numRef>
              <c:f>INDICADORES!$X$4:$Y$4</c:f>
              <c:numCache>
                <c:formatCode>General</c:formatCode>
                <c:ptCount val="2"/>
                <c:pt idx="0">
                  <c:v>62</c:v>
                </c:pt>
                <c:pt idx="1">
                  <c:v>22</c:v>
                </c:pt>
              </c:numCache>
            </c:numRef>
          </c:val>
          <c:extLst xmlns:c16r2="http://schemas.microsoft.com/office/drawing/2015/06/chart">
            <c:ext xmlns:c16="http://schemas.microsoft.com/office/drawing/2014/chart" uri="{C3380CC4-5D6E-409C-BE32-E72D297353CC}">
              <c16:uniqueId val="{00000000-8B61-44D3-9AEE-E2E265679613}"/>
            </c:ext>
          </c:extLst>
        </c:ser>
        <c:ser>
          <c:idx val="1"/>
          <c:order val="1"/>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9-AB02-446F-A86A-12B668EBA9A0}"/>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B-AB02-446F-A86A-12B668EBA9A0}"/>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D-AB02-446F-A86A-12B668EBA9A0}"/>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F-AB02-446F-A86A-12B668EBA9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INDICADORES!$V$3:$Y$3</c:f>
              <c:strCache>
                <c:ptCount val="4"/>
                <c:pt idx="0">
                  <c:v>Municipios con solicitudes</c:v>
                </c:pt>
                <c:pt idx="1">
                  <c:v>Municipios Hgo</c:v>
                </c:pt>
                <c:pt idx="2">
                  <c:v>Municipios con solicitud</c:v>
                </c:pt>
                <c:pt idx="3">
                  <c:v>Municipios sin solicitud</c:v>
                </c:pt>
              </c:strCache>
            </c:strRef>
          </c:cat>
          <c:val>
            <c:numRef>
              <c:f>INDICADORES!$V$4:$Y$4</c:f>
              <c:numCache>
                <c:formatCode>General</c:formatCode>
                <c:ptCount val="4"/>
                <c:pt idx="1">
                  <c:v>84</c:v>
                </c:pt>
                <c:pt idx="2">
                  <c:v>62</c:v>
                </c:pt>
                <c:pt idx="3">
                  <c:v>22</c:v>
                </c:pt>
              </c:numCache>
            </c:numRef>
          </c:val>
          <c:extLst xmlns:c16r2="http://schemas.microsoft.com/office/drawing/2015/06/chart">
            <c:ext xmlns:c16="http://schemas.microsoft.com/office/drawing/2014/chart" uri="{C3380CC4-5D6E-409C-BE32-E72D297353CC}">
              <c16:uniqueId val="{00000010-AB02-446F-A86A-12B668EBA9A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egendEntry>
        <c:idx val="0"/>
        <c:txPr>
          <a:bodyPr rot="0" spcFirstLastPara="1" vertOverflow="ellipsis" vert="horz" wrap="square" anchor="ctr" anchorCtr="1"/>
          <a:lstStyle/>
          <a:p>
            <a:pPr>
              <a:defRPr sz="1000" b="1" i="0" u="none" strike="noStrike" kern="1200" baseline="0">
                <a:solidFill>
                  <a:sysClr val="windowText" lastClr="000000"/>
                </a:solidFill>
                <a:latin typeface="Montserrat" panose="00000500000000000000" pitchFamily="2" charset="0"/>
                <a:ea typeface="+mn-ea"/>
                <a:cs typeface="+mn-cs"/>
              </a:defRPr>
            </a:pPr>
            <a:endParaRPr lang="es-MX"/>
          </a:p>
        </c:txPr>
      </c:legendEntry>
      <c:legendEntry>
        <c:idx val="1"/>
        <c:txPr>
          <a:bodyPr rot="0" spcFirstLastPara="1" vertOverflow="ellipsis" vert="horz" wrap="square" anchor="ctr" anchorCtr="1"/>
          <a:lstStyle/>
          <a:p>
            <a:pPr>
              <a:defRPr sz="1000" b="1" i="0" u="none" strike="noStrike" kern="1200" baseline="0">
                <a:solidFill>
                  <a:sysClr val="windowText" lastClr="000000"/>
                </a:solidFill>
                <a:latin typeface="Montserrat" panose="00000500000000000000" pitchFamily="2" charset="0"/>
                <a:ea typeface="+mn-ea"/>
                <a:cs typeface="+mn-cs"/>
              </a:defRPr>
            </a:pPr>
            <a:endParaRPr lang="es-MX"/>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ontserrat" panose="00000500000000000000" pitchFamily="2" charset="0"/>
                <a:ea typeface="+mn-ea"/>
                <a:cs typeface="+mn-cs"/>
              </a:defRPr>
            </a:pPr>
            <a:r>
              <a:rPr lang="es-MX" b="1">
                <a:solidFill>
                  <a:sysClr val="windowText" lastClr="000000"/>
                </a:solidFill>
                <a:latin typeface="Montserrat" panose="00000500000000000000" pitchFamily="2" charset="0"/>
              </a:rPr>
              <a:t>Beneficiarios Directos Atendidos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ontserrat" panose="00000500000000000000" pitchFamily="2" charset="0"/>
              <a:ea typeface="+mn-ea"/>
              <a:cs typeface="+mn-cs"/>
            </a:defRPr>
          </a:pPr>
          <a:endParaRPr lang="es-MX"/>
        </a:p>
      </c:txPr>
    </c:title>
    <c:autoTitleDeleted val="0"/>
    <c:plotArea>
      <c:layout/>
      <c:barChart>
        <c:barDir val="col"/>
        <c:grouping val="clustered"/>
        <c:varyColors val="0"/>
        <c:ser>
          <c:idx val="0"/>
          <c:order val="0"/>
          <c:tx>
            <c:strRef>
              <c:f>INDICADORES!$AC$3</c:f>
              <c:strCache>
                <c:ptCount val="1"/>
                <c:pt idx="0">
                  <c:v>Número de mujeres directas atendidas</c:v>
                </c:pt>
              </c:strCache>
            </c:strRef>
          </c:tx>
          <c:spPr>
            <a:solidFill>
              <a:srgbClr val="FEDAFC"/>
            </a:solidFill>
            <a:ln>
              <a:solidFill>
                <a:srgbClr val="FEDAFC"/>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INDICADORES!$AB$4:$AB$8</c:f>
              <c:strCache>
                <c:ptCount val="5"/>
                <c:pt idx="0">
                  <c:v>ENERO</c:v>
                </c:pt>
                <c:pt idx="1">
                  <c:v>FEBRERO</c:v>
                </c:pt>
                <c:pt idx="2">
                  <c:v>MARZO</c:v>
                </c:pt>
                <c:pt idx="3">
                  <c:v>ABRIL</c:v>
                </c:pt>
                <c:pt idx="4">
                  <c:v>MAYO</c:v>
                </c:pt>
              </c:strCache>
            </c:strRef>
          </c:cat>
          <c:val>
            <c:numRef>
              <c:f>INDICADORES!$AC$4:$AC$8</c:f>
              <c:numCache>
                <c:formatCode>0</c:formatCode>
                <c:ptCount val="5"/>
                <c:pt idx="0">
                  <c:v>3</c:v>
                </c:pt>
                <c:pt idx="1">
                  <c:v>9</c:v>
                </c:pt>
                <c:pt idx="2">
                  <c:v>13</c:v>
                </c:pt>
                <c:pt idx="3">
                  <c:v>9</c:v>
                </c:pt>
                <c:pt idx="4">
                  <c:v>4</c:v>
                </c:pt>
              </c:numCache>
            </c:numRef>
          </c:val>
          <c:extLst xmlns:c16r2="http://schemas.microsoft.com/office/drawing/2015/06/chart">
            <c:ext xmlns:c16="http://schemas.microsoft.com/office/drawing/2014/chart" uri="{C3380CC4-5D6E-409C-BE32-E72D297353CC}">
              <c16:uniqueId val="{00000000-7C35-417F-AE4C-589D8EAD22E3}"/>
            </c:ext>
          </c:extLst>
        </c:ser>
        <c:ser>
          <c:idx val="1"/>
          <c:order val="1"/>
          <c:tx>
            <c:strRef>
              <c:f>INDICADORES!$AD$3</c:f>
              <c:strCache>
                <c:ptCount val="1"/>
                <c:pt idx="0">
                  <c:v>Número de hombres directos  atendidos</c:v>
                </c:pt>
              </c:strCache>
            </c:strRef>
          </c:tx>
          <c:spPr>
            <a:solidFill>
              <a:srgbClr val="660033"/>
            </a:solidFill>
            <a:ln>
              <a:solidFill>
                <a:srgbClr val="66003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INDICADORES!$AB$4:$AB$8</c:f>
              <c:strCache>
                <c:ptCount val="5"/>
                <c:pt idx="0">
                  <c:v>ENERO</c:v>
                </c:pt>
                <c:pt idx="1">
                  <c:v>FEBRERO</c:v>
                </c:pt>
                <c:pt idx="2">
                  <c:v>MARZO</c:v>
                </c:pt>
                <c:pt idx="3">
                  <c:v>ABRIL</c:v>
                </c:pt>
                <c:pt idx="4">
                  <c:v>MAYO</c:v>
                </c:pt>
              </c:strCache>
            </c:strRef>
          </c:cat>
          <c:val>
            <c:numRef>
              <c:f>INDICADORES!$AD$4:$AD$8</c:f>
              <c:numCache>
                <c:formatCode>0</c:formatCode>
                <c:ptCount val="5"/>
                <c:pt idx="0">
                  <c:v>3</c:v>
                </c:pt>
                <c:pt idx="1">
                  <c:v>23</c:v>
                </c:pt>
                <c:pt idx="2">
                  <c:v>22</c:v>
                </c:pt>
                <c:pt idx="3">
                  <c:v>15</c:v>
                </c:pt>
                <c:pt idx="4">
                  <c:v>10</c:v>
                </c:pt>
              </c:numCache>
            </c:numRef>
          </c:val>
          <c:extLst xmlns:c16r2="http://schemas.microsoft.com/office/drawing/2015/06/chart">
            <c:ext xmlns:c16="http://schemas.microsoft.com/office/drawing/2014/chart" uri="{C3380CC4-5D6E-409C-BE32-E72D297353CC}">
              <c16:uniqueId val="{00000001-7C35-417F-AE4C-589D8EAD22E3}"/>
            </c:ext>
          </c:extLst>
        </c:ser>
        <c:dLbls>
          <c:dLblPos val="outEnd"/>
          <c:showLegendKey val="0"/>
          <c:showVal val="1"/>
          <c:showCatName val="0"/>
          <c:showSerName val="0"/>
          <c:showPercent val="0"/>
          <c:showBubbleSize val="0"/>
        </c:dLbls>
        <c:gapWidth val="219"/>
        <c:overlap val="-27"/>
        <c:axId val="308505200"/>
        <c:axId val="309120152"/>
      </c:barChart>
      <c:catAx>
        <c:axId val="3085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ontserrat" panose="00000500000000000000" pitchFamily="2" charset="0"/>
                <a:ea typeface="+mn-ea"/>
                <a:cs typeface="+mn-cs"/>
              </a:defRPr>
            </a:pPr>
            <a:endParaRPr lang="es-MX"/>
          </a:p>
        </c:txPr>
        <c:crossAx val="309120152"/>
        <c:crosses val="autoZero"/>
        <c:auto val="1"/>
        <c:lblAlgn val="ctr"/>
        <c:lblOffset val="100"/>
        <c:noMultiLvlLbl val="0"/>
      </c:catAx>
      <c:valAx>
        <c:axId val="309120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ontserrat" panose="00000500000000000000" pitchFamily="2" charset="0"/>
                <a:ea typeface="+mn-ea"/>
                <a:cs typeface="+mn-cs"/>
              </a:defRPr>
            </a:pPr>
            <a:endParaRPr lang="es-MX"/>
          </a:p>
        </c:txPr>
        <c:crossAx val="308505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ontserrat" panose="00000500000000000000" pitchFamily="2" charset="0"/>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MX" sz="1400" b="1" i="0" u="none" strike="noStrike" kern="1200" spc="0" baseline="0">
                <a:solidFill>
                  <a:sysClr val="windowText" lastClr="000000"/>
                </a:solidFill>
                <a:latin typeface="Montserrat" panose="00000500000000000000" pitchFamily="2" charset="0"/>
              </a:rPr>
              <a:t>Beneficiarios Indirectos Atendidos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s-MX"/>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MX"/>
        </a:p>
      </c:txPr>
    </c:title>
    <c:autoTitleDeleted val="0"/>
    <c:plotArea>
      <c:layout/>
      <c:barChart>
        <c:barDir val="col"/>
        <c:grouping val="clustered"/>
        <c:varyColors val="0"/>
        <c:ser>
          <c:idx val="0"/>
          <c:order val="0"/>
          <c:tx>
            <c:strRef>
              <c:f>INDICADORES!$AC$30</c:f>
              <c:strCache>
                <c:ptCount val="1"/>
                <c:pt idx="0">
                  <c:v>Número de mujeres indirectas atendidas</c:v>
                </c:pt>
              </c:strCache>
            </c:strRef>
          </c:tx>
          <c:spPr>
            <a:solidFill>
              <a:srgbClr val="FEDAFC"/>
            </a:solidFill>
            <a:ln>
              <a:solidFill>
                <a:srgbClr val="FEDAFC"/>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INDICADORES!$AB$31:$AB$35</c:f>
              <c:strCache>
                <c:ptCount val="5"/>
                <c:pt idx="0">
                  <c:v>ENERO</c:v>
                </c:pt>
                <c:pt idx="1">
                  <c:v>FEBRERO</c:v>
                </c:pt>
                <c:pt idx="2">
                  <c:v>MARZO</c:v>
                </c:pt>
                <c:pt idx="3">
                  <c:v>ABRIL</c:v>
                </c:pt>
                <c:pt idx="4">
                  <c:v>MAYO</c:v>
                </c:pt>
              </c:strCache>
            </c:strRef>
          </c:cat>
          <c:val>
            <c:numRef>
              <c:f>INDICADORES!$AC$31:$AC$35</c:f>
              <c:numCache>
                <c:formatCode>0</c:formatCode>
                <c:ptCount val="5"/>
                <c:pt idx="0">
                  <c:v>604</c:v>
                </c:pt>
                <c:pt idx="1">
                  <c:v>355</c:v>
                </c:pt>
                <c:pt idx="2">
                  <c:v>402</c:v>
                </c:pt>
                <c:pt idx="3">
                  <c:v>1692</c:v>
                </c:pt>
                <c:pt idx="4" formatCode="General">
                  <c:v>4</c:v>
                </c:pt>
              </c:numCache>
            </c:numRef>
          </c:val>
          <c:extLst xmlns:c16r2="http://schemas.microsoft.com/office/drawing/2015/06/chart">
            <c:ext xmlns:c16="http://schemas.microsoft.com/office/drawing/2014/chart" uri="{C3380CC4-5D6E-409C-BE32-E72D297353CC}">
              <c16:uniqueId val="{00000000-43A7-410E-9418-971C9A042436}"/>
            </c:ext>
          </c:extLst>
        </c:ser>
        <c:ser>
          <c:idx val="1"/>
          <c:order val="1"/>
          <c:tx>
            <c:strRef>
              <c:f>INDICADORES!$AD$30</c:f>
              <c:strCache>
                <c:ptCount val="1"/>
                <c:pt idx="0">
                  <c:v>Número de hombres indirectos  atendidos</c:v>
                </c:pt>
              </c:strCache>
            </c:strRef>
          </c:tx>
          <c:spPr>
            <a:solidFill>
              <a:srgbClr val="660033"/>
            </a:solidFill>
            <a:ln>
              <a:solidFill>
                <a:srgbClr val="66003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INDICADORES!$AB$31:$AB$35</c:f>
              <c:strCache>
                <c:ptCount val="5"/>
                <c:pt idx="0">
                  <c:v>ENERO</c:v>
                </c:pt>
                <c:pt idx="1">
                  <c:v>FEBRERO</c:v>
                </c:pt>
                <c:pt idx="2">
                  <c:v>MARZO</c:v>
                </c:pt>
                <c:pt idx="3">
                  <c:v>ABRIL</c:v>
                </c:pt>
                <c:pt idx="4">
                  <c:v>MAYO</c:v>
                </c:pt>
              </c:strCache>
            </c:strRef>
          </c:cat>
          <c:val>
            <c:numRef>
              <c:f>INDICADORES!$AD$31:$AD$35</c:f>
              <c:numCache>
                <c:formatCode>0</c:formatCode>
                <c:ptCount val="5"/>
                <c:pt idx="0">
                  <c:v>104</c:v>
                </c:pt>
                <c:pt idx="1">
                  <c:v>2412</c:v>
                </c:pt>
                <c:pt idx="2">
                  <c:v>4222</c:v>
                </c:pt>
                <c:pt idx="3">
                  <c:v>1004</c:v>
                </c:pt>
                <c:pt idx="4" formatCode="General">
                  <c:v>2430</c:v>
                </c:pt>
              </c:numCache>
            </c:numRef>
          </c:val>
          <c:extLst xmlns:c16r2="http://schemas.microsoft.com/office/drawing/2015/06/chart">
            <c:ext xmlns:c16="http://schemas.microsoft.com/office/drawing/2014/chart" uri="{C3380CC4-5D6E-409C-BE32-E72D297353CC}">
              <c16:uniqueId val="{00000001-43A7-410E-9418-971C9A042436}"/>
            </c:ext>
          </c:extLst>
        </c:ser>
        <c:dLbls>
          <c:dLblPos val="outEnd"/>
          <c:showLegendKey val="0"/>
          <c:showVal val="1"/>
          <c:showCatName val="0"/>
          <c:showSerName val="0"/>
          <c:showPercent val="0"/>
          <c:showBubbleSize val="0"/>
        </c:dLbls>
        <c:gapWidth val="219"/>
        <c:overlap val="-27"/>
        <c:axId val="308474552"/>
        <c:axId val="308516944"/>
      </c:barChart>
      <c:catAx>
        <c:axId val="308474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ontserrat" panose="00000500000000000000" pitchFamily="2" charset="0"/>
                <a:ea typeface="+mn-ea"/>
                <a:cs typeface="+mn-cs"/>
              </a:defRPr>
            </a:pPr>
            <a:endParaRPr lang="es-MX"/>
          </a:p>
        </c:txPr>
        <c:crossAx val="308516944"/>
        <c:crosses val="autoZero"/>
        <c:auto val="1"/>
        <c:lblAlgn val="ctr"/>
        <c:lblOffset val="100"/>
        <c:noMultiLvlLbl val="0"/>
      </c:catAx>
      <c:valAx>
        <c:axId val="3085169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ontserrat" panose="00000500000000000000" pitchFamily="2" charset="0"/>
                <a:ea typeface="+mn-ea"/>
                <a:cs typeface="+mn-cs"/>
              </a:defRPr>
            </a:pPr>
            <a:endParaRPr lang="es-MX"/>
          </a:p>
        </c:txPr>
        <c:crossAx val="308474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ontserrat" panose="00000500000000000000" pitchFamily="2" charset="0"/>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61253</xdr:colOff>
      <xdr:row>0</xdr:row>
      <xdr:rowOff>89398</xdr:rowOff>
    </xdr:from>
    <xdr:to>
      <xdr:col>2</xdr:col>
      <xdr:colOff>1182021</xdr:colOff>
      <xdr:row>0</xdr:row>
      <xdr:rowOff>596748</xdr:rowOff>
    </xdr:to>
    <xdr:pic>
      <xdr:nvPicPr>
        <xdr:cNvPr id="3" name="Imagen 2" descr="C:\Users\Admin1\Desktop\FDBR.png">
          <a:extLst>
            <a:ext uri="{FF2B5EF4-FFF2-40B4-BE49-F238E27FC236}">
              <a16:creationId xmlns="" xmlns:a16="http://schemas.microsoft.com/office/drawing/2014/main" id="{71B9A027-734B-4603-965F-EBFAFA309B58}"/>
            </a:ext>
          </a:extLst>
        </xdr:cNvPr>
        <xdr:cNvPicPr/>
      </xdr:nvPicPr>
      <xdr:blipFill>
        <a:blip xmlns:r="http://schemas.openxmlformats.org/officeDocument/2006/relationships" r:embed="rId1"/>
        <a:srcRect/>
        <a:stretch>
          <a:fillRect/>
        </a:stretch>
      </xdr:blipFill>
      <xdr:spPr>
        <a:xfrm>
          <a:off x="61253" y="89398"/>
          <a:ext cx="1719481" cy="507350"/>
        </a:xfrm>
        <a:prstGeom prst="rect">
          <a:avLst/>
        </a:prstGeom>
        <a:noFill/>
        <a:ln>
          <a:noFill/>
          <a:prstDash/>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22</xdr:col>
      <xdr:colOff>81642</xdr:colOff>
      <xdr:row>5</xdr:row>
      <xdr:rowOff>50344</xdr:rowOff>
    </xdr:from>
    <xdr:to>
      <xdr:col>25</xdr:col>
      <xdr:colOff>598714</xdr:colOff>
      <xdr:row>23</xdr:row>
      <xdr:rowOff>231322</xdr:rowOff>
    </xdr:to>
    <xdr:graphicFrame macro="">
      <xdr:nvGraphicFramePr>
        <xdr:cNvPr id="2" name="Gráfico 1">
          <a:extLst>
            <a:ext uri="{FF2B5EF4-FFF2-40B4-BE49-F238E27FC236}">
              <a16:creationId xmlns:a16="http://schemas.microsoft.com/office/drawing/2014/main" xmlns="" id="{C31907E0-8501-66F6-DCC5-CDCCD454A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696230</xdr:colOff>
      <xdr:row>2</xdr:row>
      <xdr:rowOff>95250</xdr:rowOff>
    </xdr:from>
    <xdr:to>
      <xdr:col>34</xdr:col>
      <xdr:colOff>2274093</xdr:colOff>
      <xdr:row>16</xdr:row>
      <xdr:rowOff>60097</xdr:rowOff>
    </xdr:to>
    <xdr:graphicFrame macro="">
      <xdr:nvGraphicFramePr>
        <xdr:cNvPr id="3" name="Gráfico 2">
          <a:extLst>
            <a:ext uri="{FF2B5EF4-FFF2-40B4-BE49-F238E27FC236}">
              <a16:creationId xmlns:a16="http://schemas.microsoft.com/office/drawing/2014/main" xmlns="" id="{7CE4385D-C690-C033-120D-0EC6E2480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289152</xdr:colOff>
      <xdr:row>27</xdr:row>
      <xdr:rowOff>145026</xdr:rowOff>
    </xdr:from>
    <xdr:to>
      <xdr:col>34</xdr:col>
      <xdr:colOff>2701586</xdr:colOff>
      <xdr:row>40</xdr:row>
      <xdr:rowOff>96950</xdr:rowOff>
    </xdr:to>
    <xdr:graphicFrame macro="">
      <xdr:nvGraphicFramePr>
        <xdr:cNvPr id="4" name="Gráfico 3">
          <a:extLst>
            <a:ext uri="{FF2B5EF4-FFF2-40B4-BE49-F238E27FC236}">
              <a16:creationId xmlns:a16="http://schemas.microsoft.com/office/drawing/2014/main" xmlns="" id="{39398114-6C16-C460-2929-50FF32F15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7</xdr:col>
      <xdr:colOff>349249</xdr:colOff>
      <xdr:row>0</xdr:row>
      <xdr:rowOff>47624</xdr:rowOff>
    </xdr:from>
    <xdr:ext cx="2515673" cy="603251"/>
    <xdr:pic>
      <xdr:nvPicPr>
        <xdr:cNvPr id="2" name="Imagen 1" descr="C:\Users\Admin1\Desktop\FDBR.png">
          <a:extLst>
            <a:ext uri="{FF2B5EF4-FFF2-40B4-BE49-F238E27FC236}">
              <a16:creationId xmlns:a16="http://schemas.microsoft.com/office/drawing/2014/main" xmlns="" id="{00000000-0008-0000-0300-000002000000}"/>
            </a:ext>
          </a:extLst>
        </xdr:cNvPr>
        <xdr:cNvPicPr/>
      </xdr:nvPicPr>
      <xdr:blipFill>
        <a:blip xmlns:r="http://schemas.openxmlformats.org/officeDocument/2006/relationships" r:embed="rId1"/>
        <a:srcRect/>
        <a:stretch>
          <a:fillRect/>
        </a:stretch>
      </xdr:blipFill>
      <xdr:spPr>
        <a:xfrm>
          <a:off x="11922124" y="47624"/>
          <a:ext cx="2515673" cy="603251"/>
        </a:xfrm>
        <a:prstGeom prst="rect">
          <a:avLst/>
        </a:prstGeom>
        <a:noFill/>
        <a:ln>
          <a:noFill/>
          <a:prstDash/>
        </a:ln>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Hp" refreshedDate="46014.63917962963" createdVersion="5" refreshedVersion="5" minRefreshableVersion="3" recordCount="302">
  <cacheSource type="worksheet">
    <worksheetSource ref="A2:AG2" sheet="Correspondencia AEEH 2026"/>
  </cacheSource>
  <cacheFields count="18">
    <cacheField name="No." numFmtId="0">
      <sharedItems containsSemiMixedTypes="0" containsString="0" containsNumber="1" containsInteger="1" minValue="1" maxValue="302"/>
    </cacheField>
    <cacheField name="No. DE TURNO" numFmtId="49">
      <sharedItems/>
    </cacheField>
    <cacheField name="MES" numFmtId="14">
      <sharedItems/>
    </cacheField>
    <cacheField name="FECHA DE RECEPCION " numFmtId="14">
      <sharedItems containsDate="1" containsBlank="1" containsMixedTypes="1" minDate="2024-05-19T00:00:00" maxDate="2025-12-13T00:00:00"/>
    </cacheField>
    <cacheField name="NO. DE OFICIO" numFmtId="0">
      <sharedItems/>
    </cacheField>
    <cacheField name="# Expediente" numFmtId="0">
      <sharedItems containsBlank="1"/>
    </cacheField>
    <cacheField name="ASUNTO" numFmtId="0">
      <sharedItems longText="1"/>
    </cacheField>
    <cacheField name="RESPONSABLE DE DAR ATENCIÓN" numFmtId="0">
      <sharedItems/>
    </cacheField>
    <cacheField name="FECHA DE TURNO " numFmtId="14">
      <sharedItems containsSemiMixedTypes="0" containsNonDate="0" containsDate="1" containsString="0" minDate="2024-01-12T00:00:00" maxDate="2025-12-23T00:00:00"/>
    </cacheField>
    <cacheField name="ATENDIDO " numFmtId="0">
      <sharedItems/>
    </cacheField>
    <cacheField name="OBSERVACIONES" numFmtId="0">
      <sharedItems containsBlank="1" longText="1"/>
    </cacheField>
    <cacheField name="ATEN._x000a_AL PUEBLO" numFmtId="0">
      <sharedItems count="2">
        <s v="NO"/>
        <s v="SI"/>
      </sharedItems>
    </cacheField>
    <cacheField name="TIPO DE SOLICITUD" numFmtId="0">
      <sharedItems count="16">
        <s v="15 EXPO/CONGRESOS/INV."/>
        <s v="11 ALTOS COSTOS Y ADEUDOS"/>
        <s v="14 ADMTVO./PERSONAL"/>
        <s v="1 ELECTRIFICACIÓN"/>
        <s v="5 EFICIENCIA ENERGÉTICA"/>
        <s v="2 ALUMBRADO PÚBLICO "/>
        <s v="8 MEJORAS ENERGÉTICAS"/>
        <s v="6 ENERGÍAS RENOVABLES"/>
        <s v="7 INFRAESTRUCTURA ELÉCTRICA"/>
        <s v="13 RIEGO AGRICOLA"/>
        <s v="12 REUBICACIÓN DE POSTE"/>
        <s v="3 TELECOMUNICACIONES"/>
        <s v="9 SISTEMA FOTOVOLTAICO INTERCONECTADO A LA RED ELÉCTRICA"/>
        <s v="10 SISTEMA FOTOVOLTAICO AISLADO"/>
        <s v="16 ATENCIÓN A EMPRESAS DEL SECTOR ENERGÉTICO"/>
        <s v="4 HIDROCARBUROS"/>
      </sharedItems>
    </cacheField>
    <cacheField name="AYUNTAMIENTO_x000a_Y/O_x000a_MUNICIPIO" numFmtId="0">
      <sharedItems count="64">
        <s v="75 TOLCAYUCA"/>
        <s v="48 PACHUCA DE SOTO"/>
        <s v="52 SAN AGUSTÍN TLAXIACA"/>
        <s v="44 NOPALA DE VILLAGRÁN"/>
        <s v="25 HUAUTLA"/>
        <s v="37 METZTITLÁN"/>
        <s v="7 ALMOLOYA"/>
        <s v="11 ATLAPEXCO"/>
        <s v="3 ACTOPAN"/>
        <s v="54 SAN SALVADOR"/>
        <s v="39 MINERAL DEL MONTE"/>
        <s v="14 CALNALI"/>
        <s v="69 TIZAYUCA"/>
        <s v="77 TULANCINGO DE BRAVO"/>
        <s v="51 MINERAL DE LA REFORMA"/>
        <s v="78 XOCHIATIPAN"/>
        <s v="19 CHILCUAUTLA"/>
        <s v="71 TLAHUILTEPA"/>
        <s v="27 HUEHUETLA"/>
        <s v="24 HUASCA DE OCAMPO"/>
        <s v="41 MIXQUIAHUALA DE JUÁREZ"/>
        <s v="29 HUICHAPAN"/>
        <s v="21 EMILIANO ZAPATA"/>
        <s v="18 CHAPULHUACÁN"/>
        <s v="OTRO ESTADO"/>
        <s v="46 SAN FELIPE ORIZATLÁN"/>
        <s v="81 ZACUALTIPÁN DE ÁNGELES"/>
        <s v="28 HUEJUTLA DE REYES"/>
        <s v="32 JALTOCÁN"/>
        <s v="8 APAN"/>
        <s v="30 IXMIQUILPAN"/>
        <s v="6 ALFAJAYUCAN"/>
        <s v="60 TENANGO DE DORIA"/>
        <s v="72 TLANALAPA"/>
        <s v="10 ATITALAQUIA"/>
        <s v="83 ZEMPOALA"/>
        <s v="4 AGUA BLANCA DE ITURBIDE"/>
        <s v="16 CUAUTEPEC DE HINOJOSA"/>
        <s v="9 EL ARENAL"/>
        <s v="1 ACATLÁN"/>
        <s v="76 TULA DE ALLENDE"/>
        <s v="15 CARDONAL"/>
        <s v="64 TEPETITLÁN"/>
        <s v="17 CHAPANTONGO"/>
        <s v="84 ZIMAPÁN"/>
        <s v="58 TASQUILLO"/>
        <s v="23 FRANCISCO I. MADERO"/>
        <s v="36 SAN AGUSTÍN METZQUITITLÁN"/>
        <s v="68 TIANGUISTENGO"/>
        <s v="63 TEPEJI DEL RÍO DE OCAMPO"/>
        <s v="59 TECOZAUTLA"/>
        <s v="13 ATOTONILCO DE TULA"/>
        <s v="34 LOLOTLA"/>
        <s v="42 MOLANGO DE ESCAMILLA"/>
        <s v="62 TEPEHUACÁN DE GUERRERO"/>
        <s v="73 TLANCHINOL"/>
        <s v="70 TLAHUELILPAN"/>
        <s v="22 EPAZOYUCAN"/>
        <s v="5 AJACUBA"/>
        <s v="74 TLAXCOAPAN"/>
        <s v="80 YAHUALICA"/>
        <s v="43 NICOLÁS FLORES"/>
        <s v="79 XOCHICOATLÁN"/>
        <s v="31 JACALA DE LEDEZMA"/>
      </sharedItems>
    </cacheField>
    <cacheField name="LOCALIDAD" numFmtId="0">
      <sharedItems containsBlank="1"/>
    </cacheField>
    <cacheField name="Personas Atendidas" numFmtId="0">
      <sharedItems containsString="0" containsBlank="1" containsNumber="1" containsInteger="1" minValue="1" maxValue="10"/>
    </cacheField>
    <cacheField name="Beneficiarios Indirectos" numFmtId="0">
      <sharedItems containsString="0" containsBlank="1" containsNumber="1" containsInteger="1" minValue="1" maxValue="2500"/>
    </cacheField>
    <cacheField name="DIVISIONES_x000a_C F 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170.421569212966" createdVersion="5" refreshedVersion="5" minRefreshableVersion="3" recordCount="152">
  <cacheSource type="worksheet">
    <worksheetSource ref="A2:AH254" sheet="Correspondencia AEEH 2026"/>
  </cacheSource>
  <cacheFields count="34">
    <cacheField name="No." numFmtId="0">
      <sharedItems containsString="0" containsBlank="1" containsNumber="1" containsInteger="1" minValue="1" maxValue="151"/>
    </cacheField>
    <cacheField name="No. DE TURNO" numFmtId="0">
      <sharedItems containsBlank="1"/>
    </cacheField>
    <cacheField name="MES" numFmtId="14">
      <sharedItems containsBlank="1" count="6">
        <s v="ENERO"/>
        <s v="FEBRERO"/>
        <s v="MARZO"/>
        <s v="ABRIL"/>
        <s v="MAYO"/>
        <m/>
      </sharedItems>
    </cacheField>
    <cacheField name="FECHA DE RECEPCIÓN POR LA DPIE" numFmtId="0">
      <sharedItems containsNonDate="0" containsDate="1" containsString="0" containsBlank="1" minDate="2026-01-20T00:00:00" maxDate="2026-05-21T00:00:00"/>
    </cacheField>
    <cacheField name="NO. DE OFICIO" numFmtId="0">
      <sharedItems containsBlank="1"/>
    </cacheField>
    <cacheField name="No. EXPEDIENTE " numFmtId="0">
      <sharedItems containsBlank="1"/>
    </cacheField>
    <cacheField name="ASUNTO" numFmtId="0">
      <sharedItems containsBlank="1" longText="1"/>
    </cacheField>
    <cacheField name="RESPONSABLE DE DAR ATENCIÓN" numFmtId="0">
      <sharedItems containsBlank="1"/>
    </cacheField>
    <cacheField name="NIVEL DE PRIORIDAD" numFmtId="0">
      <sharedItems containsBlank="1"/>
    </cacheField>
    <cacheField name="FECHA DE TURNO " numFmtId="0">
      <sharedItems containsNonDate="0" containsDate="1" containsString="0" containsBlank="1" minDate="2026-01-21T00:00:00" maxDate="2026-05-21T00:00:00"/>
    </cacheField>
    <cacheField name="¿SOLICITUD ATENDIDA?" numFmtId="0">
      <sharedItems containsBlank="1"/>
    </cacheField>
    <cacheField name="NÚMERO DE GESTIÓN EN SIGA" numFmtId="0">
      <sharedItems containsBlank="1"/>
    </cacheField>
    <cacheField name="OFICIO Y/O ACCIÓN DE RESPUESTA INTERNA " numFmtId="0">
      <sharedItems containsBlank="1" longText="1"/>
    </cacheField>
    <cacheField name="¿SOLICITUD GESTIONADA ANTE CFE?" numFmtId="0">
      <sharedItems containsBlank="1"/>
    </cacheField>
    <cacheField name="GESTIONADA, MEDIANTE OFICIO " numFmtId="0">
      <sharedItems containsBlank="1"/>
    </cacheField>
    <cacheField name="¿CFE DIO RESPUESTA?" numFmtId="0">
      <sharedItems containsBlank="1" count="4">
        <s v="N/A"/>
        <s v="NO"/>
        <s v="SI"/>
        <m/>
      </sharedItems>
    </cacheField>
    <cacheField name="OFICIO CON EL QUE CFE DA RESPUESTA " numFmtId="0">
      <sharedItems containsBlank="1"/>
    </cacheField>
    <cacheField name="¿SOLICITUD GESTIONADA ANTE AYUNTAMIENTOS?" numFmtId="0">
      <sharedItems containsBlank="1"/>
    </cacheField>
    <cacheField name="GESTIONADA, MEDIANTE OFICIO 2" numFmtId="0">
      <sharedItems containsBlank="1"/>
    </cacheField>
    <cacheField name="¿AYUNTAMIENTO DIO RESPUESTA?" numFmtId="0">
      <sharedItems containsBlank="1"/>
    </cacheField>
    <cacheField name="OFICIO CON EL QUE CFE DA RESPUESTA 2" numFmtId="0">
      <sharedItems containsBlank="1"/>
    </cacheField>
    <cacheField name="SOLICITUD INGRESADA POR " numFmtId="0">
      <sharedItems containsBlank="1"/>
    </cacheField>
    <cacheField name="ÁREA GENERADORA " numFmtId="0">
      <sharedItems containsBlank="1"/>
    </cacheField>
    <cacheField name="CLASIFICACIÓN " numFmtId="0">
      <sharedItems containsBlank="1" count="10">
        <s v="7.- INVITACIONES/EXPOS/CONGRESOS/TEMAS ADMINISTRATIVOS/CAPACITACIONES/ATENCIÓN A EMPRESAS/ELECTROMOVILIDAD/OTROS  "/>
        <s v="8.- MEJORAS A LA RED"/>
        <s v="3.- ELECTRIFICACIÓN"/>
        <s v="2.- ALUMBRADO PÚBLICO"/>
        <s v="4.- ENERGÍA RENOVABLE (SOLAR, EÓLICA)"/>
        <s v="12.- SEGUIMIENTO A SOLICITUDES"/>
        <s v="6.- INFRAESTRUCTURA ELÉCTRICA"/>
        <s v="1.- ADEUDO "/>
        <s v="13.- REUBICACIÓN DE POSTES "/>
        <m/>
      </sharedItems>
    </cacheField>
    <cacheField name="MUNICIPIO" numFmtId="0">
      <sharedItems containsBlank="1" count="38">
        <s v="48 PACHUCA DE SOTO"/>
        <s v="52 SAN AGUSTÍN TLAXIACA"/>
        <s v="47 PACULA"/>
        <s v="58 TASQUILLO"/>
        <s v="83 ZEMPOALA"/>
        <m/>
        <s v="26 HUAZALINGO"/>
        <s v="72 TLANALAPA"/>
        <s v="28 HUEJUTLA DE REYES"/>
        <s v="73 TLANCHINOL"/>
        <s v="12 ATOTONILCO EL GRANDE"/>
        <s v="45 OMITLÁN DE JUÁREZ"/>
        <s v="11 ATLAPEXCO"/>
        <s v="82 ZAPOTLÁN DE JUÁREZ"/>
        <s v="24 HUASCA DE OCAMPO"/>
        <s v="18 CHAPULHUACÁN"/>
        <s v="35 METEPEC"/>
        <s v="14 CALNALI"/>
        <s v="4 AGUA BLANCA DE ITURBIDE"/>
        <s v="56 SANTIAGO TULANTEPEC DE LUGO GUERRERO"/>
        <s v="8 APAN"/>
        <s v="9 EL ARENAL"/>
        <s v="2 ACAXOCHITLÁN"/>
        <s v="61 TEPEAPULCO"/>
        <s v="77 TULANCINGO DE BRAVO"/>
        <s v="22 EPAZOYUCAN"/>
        <s v="68 TIANGUISTENGO"/>
        <s v="44 NOPALA DE VILLAGRÁN"/>
        <s v="6 ALFAJAYUCAN"/>
        <s v="53 SAN BARTOLO TUTOTEPEC"/>
        <s v="17 CHAPANTONGO"/>
        <s v="29 HUICHAPAN"/>
        <s v="67 TEZONTEPEC DE ALDAMA"/>
        <s v="62 TEPEHUACÁN DE GUERRERO"/>
        <s v="13 ATOTONILCO DE TULA"/>
        <s v="57 SINGUILUCAN"/>
        <s v="3 ACTOPAN"/>
        <s v="20 ELOXOCHITLÁN"/>
      </sharedItems>
    </cacheField>
    <cacheField name="LOCALIDAD" numFmtId="0">
      <sharedItems containsBlank="1"/>
    </cacheField>
    <cacheField name="GÉNERO " numFmtId="0">
      <sharedItems containsBlank="1" count="3">
        <s v="MASCULINO "/>
        <s v="FEMENINO "/>
        <m/>
      </sharedItems>
    </cacheField>
    <cacheField name="NÚMERO DE TELÉFONO" numFmtId="0">
      <sharedItems containsBlank="1" containsMixedTypes="1" containsNumber="1" containsInteger="1" minValue="4272243984" maxValue="77121367168"/>
    </cacheField>
    <cacheField name="CORREO ELECTRÓNICO " numFmtId="0">
      <sharedItems containsBlank="1"/>
    </cacheField>
    <cacheField name="PERSONAS ATENDIDAS" numFmtId="0">
      <sharedItems containsString="0" containsBlank="1" containsNumber="1" containsInteger="1" minValue="0" maxValue="1"/>
    </cacheField>
    <cacheField name="Beneficiarios Directos" numFmtId="0">
      <sharedItems containsString="0" containsBlank="1" containsNumber="1" minValue="0" maxValue="500"/>
    </cacheField>
    <cacheField name="Beneficiarios Indirectos" numFmtId="0">
      <sharedItems containsString="0" containsBlank="1" containsNumber="1" containsInteger="1" minValue="0" maxValue="2000"/>
    </cacheField>
    <cacheField name="DIVISIONES_x000a_C F E" numFmtId="0">
      <sharedItems containsBlank="1"/>
    </cacheField>
    <cacheField name="ZONAS CFE"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OnLoad="1" refreshedBy="Hp" refreshedDate="46283.734745254631" createdVersion="8" refreshedVersion="5" minRefreshableVersion="3" recordCount="151">
  <cacheSource type="worksheet">
    <worksheetSource ref="A2:AH153" sheet="Correspondencia AEEH 2026"/>
  </cacheSource>
  <cacheFields count="34">
    <cacheField name="No." numFmtId="0">
      <sharedItems containsSemiMixedTypes="0" containsString="0" containsNumber="1" containsInteger="1" minValue="1" maxValue="151"/>
    </cacheField>
    <cacheField name="NO. DE TURNO " numFmtId="49">
      <sharedItems/>
    </cacheField>
    <cacheField name="MES" numFmtId="14">
      <sharedItems count="8">
        <s v="FEBRERO"/>
        <s v="MARZO"/>
        <s v="ABRIL"/>
        <s v="JUNIO"/>
        <s v="MAYO"/>
        <s v="ENERO"/>
        <s v="JULIO"/>
        <s v="AGOSTO"/>
      </sharedItems>
    </cacheField>
    <cacheField name="FECHA DE RECEPCIÓN POR LA DPIE" numFmtId="14">
      <sharedItems containsSemiMixedTypes="0" containsNonDate="0" containsDate="1" containsString="0" minDate="2026-01-20T00:00:00" maxDate="2026-08-28T00:00:00"/>
    </cacheField>
    <cacheField name="NO. DE OFICIO" numFmtId="0">
      <sharedItems/>
    </cacheField>
    <cacheField name="No. EXPEDIENTE " numFmtId="0">
      <sharedItems containsBlank="1"/>
    </cacheField>
    <cacheField name="ASUNTO" numFmtId="0">
      <sharedItems/>
    </cacheField>
    <cacheField name="RESPONSABLE DE DAR ATENCIÓN" numFmtId="0">
      <sharedItems/>
    </cacheField>
    <cacheField name="NIVEL DE PRIORIDAD" numFmtId="0">
      <sharedItems/>
    </cacheField>
    <cacheField name="FECHA DE TURNO " numFmtId="14">
      <sharedItems containsSemiMixedTypes="0" containsNonDate="0" containsDate="1" containsString="0" minDate="2026-01-21T00:00:00" maxDate="2026-08-28T00:00:00"/>
    </cacheField>
    <cacheField name="¿SOLICITUD ATENDIDA?" numFmtId="0">
      <sharedItems count="2">
        <s v="SI"/>
        <s v="EN PROCESO" u="1"/>
      </sharedItems>
    </cacheField>
    <cacheField name="NÚMERO DE GESTIÓN EN SIGA" numFmtId="0">
      <sharedItems/>
    </cacheField>
    <cacheField name="OFICIO Y/O ACCIÓN DE RESPUESTA  " numFmtId="0">
      <sharedItems longText="1"/>
    </cacheField>
    <cacheField name="¿SOLICITUD GESTIONADA ANTE CFE?" numFmtId="0">
      <sharedItems count="3">
        <s v="SI"/>
        <s v="NO"/>
        <s v="N/A"/>
      </sharedItems>
    </cacheField>
    <cacheField name="GESTIONADA, MEDIANTE OFICIO " numFmtId="0">
      <sharedItems/>
    </cacheField>
    <cacheField name="¿CFE DIO RESPUESTA?" numFmtId="0">
      <sharedItems containsBlank="1"/>
    </cacheField>
    <cacheField name="OFICIO CON EL QUE CFE DA RESPUESTA " numFmtId="0">
      <sharedItems containsBlank="1"/>
    </cacheField>
    <cacheField name="¿SOLICITUD GESTIONADA ANTE AYUNTAMIENTOS?" numFmtId="0">
      <sharedItems containsBlank="1"/>
    </cacheField>
    <cacheField name="GESTIONADA, MEDIANTE OFICIO 2" numFmtId="0">
      <sharedItems containsBlank="1"/>
    </cacheField>
    <cacheField name="¿AYUNTAMIENTO DIO RESPUESTA?" numFmtId="0">
      <sharedItems containsBlank="1"/>
    </cacheField>
    <cacheField name="OFICIO CON EL QUE EL AYUNTMIENTO DA RESPUESTA " numFmtId="0">
      <sharedItems containsBlank="1"/>
    </cacheField>
    <cacheField name="SOLICITUD INGRESADA POR " numFmtId="0">
      <sharedItems containsBlank="1"/>
    </cacheField>
    <cacheField name="ÁREA GENERADORA " numFmtId="0">
      <sharedItems containsBlank="1" count="5">
        <s v="ATENCIÓN AL PUEBLO"/>
        <s v="OTRAS INSTANCIAS"/>
        <m/>
        <s v="SEGUIMIENTO A SOLICITUDES"/>
        <s v="SEGUIMIENTO A SOLICITUDES 2025" u="1"/>
      </sharedItems>
    </cacheField>
    <cacheField name="CLASIFICACIÓN " numFmtId="0">
      <sharedItems containsBlank="1" count="19">
        <s v="6.- INFRAESTRUCTURA ELÉCTRICA"/>
        <s v="2.- ALUMBRADO PÚBLICO"/>
        <s v="3.- ELECTRIFICACIÓN"/>
        <s v="8.- MEJORAS A LA RED"/>
        <s v="7.- INVITACIONES/EXPOS/CONGRESOS/TEMAS ADMINISTRATIVOS/CAPACITACIONES/ATENCIÓN A EMPRESAS/ELECTROMOVILIDAD/OTROS  "/>
        <s v="13.- REUBICACIÓN DE POSTES "/>
        <s v="1.- ADEUDO "/>
        <s v="14.- CONCILIACIÓN ANTE CFE "/>
        <s v="4.- ENERGÍA RENOVABLE (SOLAR, EÓLICA)"/>
        <s v="12.- SEGUIMIENTO A SOLICITUDES"/>
        <m u="1"/>
        <s v="9.- MEJORAS A LA RED" u="1"/>
        <s v="5.- ENERGÍA RENOVABLE" u="1"/>
        <s v="7.- INFRAESTRUCTURA ELÉCTRICA" u="1"/>
        <s v="3.- ATENCIÓN A EMPRESAS " u="1"/>
        <s v="13.- SEGUIMIENTO A SOLICITUDES" u="1"/>
        <s v="14.- REUBICACIÓN DE POSTES " u="1"/>
        <s v="4.- ELECTRIFICACIÓN" u="1"/>
        <s v="8.- INVITACIONES/EXPOS/CONGRESOS/TEMAS ADMINISTRATIVOS/CAPACITACIONES/OTROS  " u="1"/>
      </sharedItems>
    </cacheField>
    <cacheField name="MUNICIPIO" numFmtId="0">
      <sharedItems containsBlank="1"/>
    </cacheField>
    <cacheField name="LOCALIDAD" numFmtId="0">
      <sharedItems containsBlank="1"/>
    </cacheField>
    <cacheField name="GÉNERO " numFmtId="0">
      <sharedItems containsBlank="1"/>
    </cacheField>
    <cacheField name="NÚMERO DE TELÉFONO" numFmtId="0">
      <sharedItems containsBlank="1" containsMixedTypes="1" containsNumber="1" containsInteger="1" minValue="4272243984" maxValue="77121367168"/>
    </cacheField>
    <cacheField name="CORREO ELECTRÓNICO " numFmtId="0">
      <sharedItems containsBlank="1"/>
    </cacheField>
    <cacheField name="PERSONAS ATENDIDAS" numFmtId="0">
      <sharedItems containsString="0" containsBlank="1" containsNumber="1" containsInteger="1" minValue="0" maxValue="1"/>
    </cacheField>
    <cacheField name="Beneficiarios Directos" numFmtId="0">
      <sharedItems containsString="0" containsBlank="1" containsNumber="1" minValue="0" maxValue="500"/>
    </cacheField>
    <cacheField name="Beneficiarios Indirectos" numFmtId="0">
      <sharedItems containsString="0" containsBlank="1" containsNumber="1" containsInteger="1" minValue="0" maxValue="2000"/>
    </cacheField>
    <cacheField name="DIVISIONES_x000a_C F E" numFmtId="0">
      <sharedItems containsBlank="1"/>
    </cacheField>
    <cacheField name="ZONAS CF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02">
  <r>
    <n v="1"/>
    <s v="001"/>
    <s v="ENERO"/>
    <d v="2025-01-08T00:00:00"/>
    <s v="DDAEMAMTH/01/2025"/>
    <s v="2*1S.4/02-2025"/>
    <s v="Lic. Armando Zuñiga Gutiérrez, Pte. Mpal. de Tolcayuca, Hgo., hace invitación para participar en los talleres programados de Ordenamiento Ecológico Local Participativo, que se llevarán a cabo los días 14 de enero y 4 de febrero, en Auditorio Lienzo Charro, a las 9:45 Horas."/>
    <s v="ARQ. ORLANDO"/>
    <d v="2025-01-13T00:00:00"/>
    <s v="SI"/>
    <s v="Los C.Ing. Francisco García Villalpa y Arq. Diego Rosales Torres, asisten a dichos talleres en representación del Arq. Orlando Martínez Juárez"/>
    <x v="0"/>
    <x v="0"/>
    <x v="0"/>
    <m/>
    <n v="1"/>
    <m/>
    <m/>
  </r>
  <r>
    <n v="2"/>
    <s v="008"/>
    <s v="ENERO"/>
    <d v="2025-01-09T00:00:00"/>
    <s v="S/N_x000a__x000a_"/>
    <s v="2*1S.1/01-2025_x000a_exp. 1"/>
    <s v="La C. Genoveva Pérez Oropeza, con domicilio en calle Ángela Peralta #107, Col. del Castillo, Pachuca, Hgo., solicita mediación con CFE por una problemática de adeudo_x000a_Seguimiento al turno 040-2025"/>
    <s v="ARQ. ORLANDO_x000a_ING. FRANCISCO"/>
    <d v="2025-01-13T00:00:00"/>
    <s v="SI"/>
    <s v="PARA SU ATENCIÓN_x000a_Gestión_x000a_SDE-AEEH-00226-25_x000a_Se envío T.I. AEEH/DG/003/2025, a Ing. Rafael Navarro Pérez ,CFE Distribución, solicitando el apoyo para la conciliación de dicho adeudo._x000a_Cerrada_x000a_OFICIO AEEH/DG/062/2025, del 28/enero/25, turnado a Ing. Octavio Gómez Paulin"/>
    <x v="1"/>
    <x v="1"/>
    <x v="1"/>
    <s v="Col. Del Castillo"/>
    <n v="1"/>
    <n v="4"/>
    <s v="Zona Pachuca"/>
  </r>
  <r>
    <n v="3"/>
    <s v="013"/>
    <s v="ENERO"/>
    <d v="2025-01-13T00:00:00"/>
    <s v="UPLAPH/COEMERE/243-XXViIi/2024"/>
    <s v="_x000a_2*1S/10-2025"/>
    <s v="Informa que derivado del análisis y revisión a su Proyecto de Programa Anual de Mejora Regulatoria, se determinó que su estructura es acorde con los lineamientos para integrar el mismo y que a partir de 2025, deberá dar seguimiento a la implementación de las acciones registradas en su programa y presentar los informes periódicos de su avance"/>
    <s v="ARQ. ORLANDO"/>
    <d v="2025-01-13T00:00:00"/>
    <s v="SI"/>
    <s v="Se envía oficio DPIEyT/001/2025, de fecha 15-enero-2025, turnado a las direcciones de área de esta AEEH, para su posterior seguimiento."/>
    <x v="0"/>
    <x v="2"/>
    <x v="2"/>
    <m/>
    <n v="1"/>
    <m/>
    <m/>
  </r>
  <r>
    <n v="4"/>
    <s v="020"/>
    <s v="ENERO"/>
    <d v="2025-01-14T00:00:00"/>
    <s v="SEDECO/CGI/TI/027/2025_x000a_SDG/DGAP/10784/2024"/>
    <s v="_x000a_2*1S.1/01-2025 exp.6"/>
    <s v="Solicita se de atención a la C. Esperanza López Maldonado, del Mpio. de Nopala de Villagran, quien solicita mediación con CFE para la instalación de un poste de concreto destinado a la bajada de luz eléctrica para su hogar, en la comunidad de San Sebastian de Juárez"/>
    <s v="ING. FRANCISCO"/>
    <d v="2025-01-17T00:00:00"/>
    <s v="SI"/>
    <s v="Para su atencion_x000a_Gestión_x000a_SDE-AEEH-00220-25_x000a_Se da respuesta con oficio AEEH/DG/054/2025 del  27 de enero, turnado a Ing. Octavio Gomez Paulin. CERRADA"/>
    <x v="1"/>
    <x v="3"/>
    <x v="3"/>
    <s v="San Sebastián de Juárez"/>
    <n v="1"/>
    <n v="4"/>
    <s v="DIVISION BAJIO"/>
  </r>
  <r>
    <n v="5"/>
    <s v="021"/>
    <s v="ENERO"/>
    <d v="2025-01-14T00:00:00"/>
    <s v="SEDECO/CGI/TI/029/2025_x000a_SDG/DGAP/10463/2024"/>
    <s v="2*1S.1/01-2025 exp.2"/>
    <s v="Solicita se de atención a la C. Elva Velázquez Morales, del Mpio. de Huautla, quien solicita mediación con CFE para cambiar la electrificación de 110 a 220 V, de la escuela primaria general &quot;Consumación de la Independencia&quot;, ubicada en Av. Rossell, Barrio Hondo, de dicho lugar"/>
    <s v="ING. FRANCISCO"/>
    <d v="2025-01-17T00:00:00"/>
    <s v="SI"/>
    <s v="Para su atencion _x000a_Gestión_x000a_SDE-AEEH-00221-25_x000a_Se da respuesta con Oficio AEEH/DG/055/2025, del 27-ene-25, turnado a Ing. Octavio Gómez Paulin_x000a_Cerrada."/>
    <x v="1"/>
    <x v="4"/>
    <x v="4"/>
    <s v="Barrio Hondo"/>
    <n v="2"/>
    <n v="200"/>
    <s v="GOLFO CENTRO"/>
  </r>
  <r>
    <n v="6"/>
    <s v="022"/>
    <s v="ENERO"/>
    <d v="2025-01-14T00:00:00"/>
    <s v="SEDECO/CGI/TI/030/2025_x000a_SDG/DGAP/11050/2024"/>
    <s v="asesorias 2025_x000a_exp.3"/>
    <s v="Solicita se de atención al C. Gabriel Hernández Cortés y vecinos de la calle Tomás Devereux Sánchez y Privada Real de Santa Julia, Mpio. de Pachuca, Hgo., quienes solicitan mediación con CFE para ampliar el alumbrado público en dicho lugar."/>
    <s v="ING. FRANCISCO"/>
    <d v="2025-01-17T00:00:00"/>
    <s v="SI"/>
    <s v="PARA SU ATENCIÓN_x000a_Gestión_x000a_SDE-AEEH-00222-25_x000a_Se da respuesta con Oficio AEEH/DG/056/2025, del 27-ene-25, turnado a Ing. Octavio Gómez Paulin_x000a_Cerrada"/>
    <x v="1"/>
    <x v="5"/>
    <x v="1"/>
    <m/>
    <n v="10"/>
    <n v="72"/>
    <s v="Zona Pachuca"/>
  </r>
  <r>
    <n v="7"/>
    <s v="023"/>
    <s v="ENERO"/>
    <d v="2025-01-14T00:00:00"/>
    <s v="SEDECO/CGI/TI/031/2025_x000a_SDG/DGAP/10940/2024"/>
    <s v="asesorias 2025_x000a_exp.4"/>
    <s v="Solicita se de atención a la C. María de los Ángeles Ortíz Mejía, del Barrio Huizache Calle principal Oaxaca, esquina Queretaro, Mpio. de San Agustín Tlaxiaca, quien solicita mediación con CFE para obtener el alumbrado público en dicho lugar."/>
    <s v="ING. FRANCISCO"/>
    <d v="2025-01-17T00:00:00"/>
    <s v="SI"/>
    <s v="PARA SU ATENCIÓN_x000a_Gestión_x000a_SDE-AEEH-00223-25_x000a_Se da respuesta con Oficio AEEH/DG/057/2025, del 27-ene-25, turnado a Ing. Octavio Gómez Paulin_x000a_Cerrada."/>
    <x v="1"/>
    <x v="5"/>
    <x v="2"/>
    <m/>
    <n v="1"/>
    <n v="150"/>
    <s v="Zona Pachuca"/>
  </r>
  <r>
    <n v="8"/>
    <s v="024"/>
    <s v="ENERO"/>
    <d v="2025-01-14T00:00:00"/>
    <s v="SEDECO/CGI/TI/032/2025_x000a_SDG/DGAP/10880/2024"/>
    <s v="_x000a_2*1S.1/01-2025 exp.5"/>
    <s v="Solicita se de atención al C. Jesús Núñez López, del Mpio. de Nopala de Villagran, quien solicita mediación con CFE para la instalación de un poste de concreto, destinado al servicio de electricidad para su hogar, ubicado en San Sebastian de Juárez"/>
    <s v="ING. FRANCISCO"/>
    <d v="2025-01-17T00:00:00"/>
    <s v="SI"/>
    <s v="PARA SU ATENCIÓN_x000a_GESTIÓN_x000a_SDE-AEEH-00224-25_x000a_Se da respuesta con Oficio AEEH/DG/058/2025, del 27-ene-25, turnado a Ing. Octavio Gómez Paulin_x000a_Cerrada."/>
    <x v="1"/>
    <x v="3"/>
    <x v="3"/>
    <s v="San Sebastián de Juárez"/>
    <n v="1"/>
    <n v="40"/>
    <s v="DIVISION BAJIO"/>
  </r>
  <r>
    <n v="9"/>
    <s v="025"/>
    <s v="ENERO"/>
    <d v="2025-01-14T00:00:00"/>
    <s v="SEDECO/CGI/TI/035/2025_x000a_SDG/DGAP/9964/2024"/>
    <s v="_x000a_2*1S.1/01-2025 exp.7"/>
    <s v="Solicita se de atención al C. Roberto Cruz Chávez y Oliverio González Luna, integrantes del comité de agua de la comunidad de Tlaxco, Mpio. de Metztitlán, quienes solicitan apoyo para adquirir un transormador eléctrico, ya que el que tenían se quemo y eso afecto el sistema de bombeo de agua_x000a_Seguimiento del Turno 845-2024"/>
    <s v="ING. FRANCISCO"/>
    <d v="2025-01-17T00:00:00"/>
    <s v="SI"/>
    <s v="PARA SU ATENCIÓN_x000a_Gestión_x000a_SDE-AEEH-00210-25_x000a_08-01-25. Se estableció comunicación con el Delegado, mencionó no tener información y me comunicara con el Comité. Se le mando mensaje whatsapp al comité._x000a_Oficio AEEH/DG/043/2025, del 27-enero-25, turnado a Ing. Octavio Gómez Paulin_x000a_Cerrada."/>
    <x v="1"/>
    <x v="6"/>
    <x v="5"/>
    <s v="Tlaxco"/>
    <n v="2"/>
    <n v="180"/>
    <s v="GOLFO CENTRO"/>
  </r>
  <r>
    <n v="10"/>
    <s v="033"/>
    <s v="ENERO"/>
    <d v="2025-01-17T00:00:00"/>
    <s v="SEMARNATH/DESP/DGOET-0041/2025"/>
    <s v="2*1S.4/02-2025_x000a_"/>
    <s v="Hace referencia al (POELP) de los Mpios. de  Atotonilco de Tula, Villa de Tezontepe, Tlanalapa, Tolcayuca, Zapotlán de Juárez y Zempoala, que estan siendo elaborados por la &quot;Consultoría JSM&quot;, representada por el C. José Suárez Monzalvo, quien requiere información específica de esta institución._x000a_Seguimiento al Turno -042"/>
    <s v="ARQ. DIEGO"/>
    <d v="2025-01-17T00:00:00"/>
    <s v="SI"/>
    <s v="PARA SU ATENCIÓN_x000a_Gestión_x000a_SDE-UCC-04315-25_x000a_Se da respuesta con Oficio AEEH/DG/137/2025, del 25-feb-25, turnado a Mtra. Mónica Patricia Mixtega Trejo, para su atención."/>
    <x v="0"/>
    <x v="2"/>
    <x v="1"/>
    <m/>
    <n v="1"/>
    <m/>
    <m/>
  </r>
  <r>
    <n v="11"/>
    <s v="036"/>
    <s v="ENERO"/>
    <d v="2025-01-20T00:00:00"/>
    <s v="SEDECO/CGI/TI/036/2025_x000a_SDG/DGAP/55/2025"/>
    <s v="_x000a_2*1S.1/01-2025 exp.11"/>
    <s v="Solicita se de atención al C. Emeterio Osorno Herrera, Sindico Procurador Hacendario del Mpio. de Almoloya, quien solicita apoyo para la instalación de paneles solares con el fin de reducir gastos de operación, tambien tienen la propuesta de instalar una recicladora, en dicho lugar."/>
    <s v="ING. FRANCISCO"/>
    <d v="2025-01-22T00:00:00"/>
    <s v="SI"/>
    <s v="PARA SU ATENCIÓN_x000a_Gestión_x000a_SDE-AEEH-00229-25_x000a_Se da respuesta con Oficio AEEH/DG/065/2025, del 28-ene-25, turnado a Ing. Octavio Gómez Paulin_x000a_Cerrada."/>
    <x v="1"/>
    <x v="7"/>
    <x v="6"/>
    <m/>
    <n v="1"/>
    <n v="2500"/>
    <s v="CENTRO ORIENTE"/>
  </r>
  <r>
    <n v="12"/>
    <s v="037"/>
    <s v="ENERO"/>
    <d v="2025-01-20T00:00:00"/>
    <s v="SEDECO/CGI/TI/046/2025_x000a_SDG/DGAP/10161/2024_x000a_SEDECO/CGI/TI/1323/2024"/>
    <s v="_x000a_2*1S.1/01-2025 exp.9"/>
    <s v="Solicita se de atención a los C. Albertico Luna Naranjo y Librada Cespedes Méndez, Director y Pta. del comité de padres de familia de la Escuela Primaria Juan de Dios Peza&quot; de Itzocal, Mpio. de Atlapexco, quienes solicitan apoyo  con un transormador y la instalación en eléctrica en dicho lugar._x000a_Seguimiento al Turno-884-2024"/>
    <s v="ING. FRANCISCO"/>
    <d v="2025-01-22T00:00:00"/>
    <s v="SI"/>
    <s v="PARA SU ATENCIÓN_x000a_Gestión_x000a_SDE-AEEH-00207-25_x000a_SDE-AEEH-00225-25_x000a_10-01-25. Se le asesoró vía telefónica y se le solicitó por correo con fecha 13-01-25 información adicional._x000a_OFICIO AEEH/DG/034/2025, 24-enero-25, turnado a Ing. Octavio Gómez Paulin._x000a_Y OFICIO AEEH/DG/061/2025, del  28/enero/25_x000a_Cerrada."/>
    <x v="1"/>
    <x v="8"/>
    <x v="7"/>
    <s v="Itzocal"/>
    <n v="2"/>
    <n v="250"/>
    <s v="GOLFO CENTRO"/>
  </r>
  <r>
    <n v="13"/>
    <s v="038"/>
    <s v="ENERO"/>
    <d v="2025-01-20T00:00:00"/>
    <s v="SEDECO/CGI/TI/055/2025_x000a_SDG/DGAP/11080/2024"/>
    <s v="_x000a_2*1S.1/01- 2025 exp.10"/>
    <s v="Solicita se de atención a los C. Juan Carlos Reyes Sánchez  y Mario Reyes Cañada, Delegado y representante de de la comunidad Dajiedhi, Mpio. de Actopan, quienes solicitan apoyo  con 500 mts. de ampliación de luz eléctrica en la manzana 2, en dicho lugar."/>
    <s v="ING. FRANCISCO"/>
    <d v="2025-01-22T00:00:00"/>
    <s v="SI"/>
    <s v="PARA SU ATENCIÓN_x000a_Gestión_x000a_SDE-AEEH-00228-25_x000a_Se da respuesta con Oficio AEEH/DG/064/2025, del 28-ene-25, turnado a Ing. Octavio Gómez Paulin_x000a_Cerrada."/>
    <x v="1"/>
    <x v="3"/>
    <x v="8"/>
    <s v="Dajiedhi"/>
    <n v="2"/>
    <n v="61"/>
    <s v="Zona Pachuca"/>
  </r>
  <r>
    <n v="14"/>
    <s v="039"/>
    <s v="ENERO"/>
    <d v="2025-01-20T00:00:00"/>
    <s v="SEDECO/CGI/TI/058/2025_x000a_SDG/DGAP/66/2024"/>
    <s v="2*1S.5/02-2025"/>
    <s v="Solicita se le de atención a Lic. Daniel Hernández Alamilla, Gestor Grosvenor Aquare, Ximpler.APP y Solumex, quien solicita una audiencia para tratar asuntos relacionados con la implementación de Ximpler GOB, para mejorar la operación interna de Gobiernos Estatales y Municipales y tratar el asunto de SOLUMEX, corporativo solar p/el campo de las energias limpias y Tecnologías de vanguardia."/>
    <s v="ARQ. ORLANDO"/>
    <d v="2025-01-22T00:00:00"/>
    <s v="SI"/>
    <s v="PARA SU ATENCIÓN_x000a_Gestión _x000a_SDE-UCC-04277-25_x000a_Pendiente la programación de una Reunión con ARQ. IVONNE_x000a_-El peticionario ya no atendio a la solicitud"/>
    <x v="0"/>
    <x v="2"/>
    <x v="1"/>
    <m/>
    <n v="2"/>
    <m/>
    <m/>
  </r>
  <r>
    <n v="15"/>
    <s v="040"/>
    <s v="ENERO"/>
    <d v="2025-01-20T00:00:00"/>
    <s v="SEDECO/CGI/TI/060/2025_x000a_SDG/DGAP/5/2024"/>
    <s v="_x000a_2*1S.1/01-2025 exp.1"/>
    <s v="La C. Genoveva Pérez Oropeza, con domicilio en calle Ángela Peralta #107, Col. del Castillo, Pachuca, Hgo., solicita mediación con CFE por una problemática de adeudo_x000a_Seguimiento al turno 008-2025"/>
    <s v="ING. FRANCISCO"/>
    <d v="2025-01-22T00:00:00"/>
    <s v="SI"/>
    <s v="PARA SU ATENCIÓN_x000a_Gestión_x000a_SDE-AEEH-00226-25_x000a_Se envío T.I. AEEH/DG/003/2025, a Ing. Rafael Navarro Pérez ,CFE Distribución, solicitando el apoyo para la conciliación de dicho adeudo._x000a_OFICIO AEEH/DG/062/2025, del 28/enero/25, turnado a Ing. Octavio Gómez Paulin_x000a_Cerrada."/>
    <x v="1"/>
    <x v="1"/>
    <x v="1"/>
    <s v="Col. Del Castillo"/>
    <n v="1"/>
    <m/>
    <s v="CENTRO ORIENTE"/>
  </r>
  <r>
    <n v="16"/>
    <s v="041"/>
    <s v="ENERO"/>
    <d v="2025-01-20T00:00:00"/>
    <s v="SEDECO/CGI/TI/62/2025_x000a_SDG/DGAP/138/2024"/>
    <s v="_x000a_2*1S.1/01-2025 exp.8"/>
    <s v="Solicita se de atención al C. Octavio José Cruz Medina, Presidente del comité de riego agricola e integrantes de la Sociedad de Producción Rural Paraiso del Mezquital, ubicado en la Lagunilla mpio. de San Salvador, quienes solicitan apoyo para agilizar su trámite a fin de que su organización sea incluida en el &quot;programa especial de energía para el campo&quot;"/>
    <s v="ARQ. ORLANDO_x000a_ING. FRANCISCO"/>
    <d v="2025-01-20T00:00:00"/>
    <s v="SI"/>
    <s v="PARA SU ATENCIÓN_x000a_Gestión_x000a_SDE-AEEH-00227-25_x000a_Se envío T.I. AEEH/DG/002/2025, A L.A.P. Carlos Ruíz López, Subsecretario de Planeación y Evaluación Sectorial de la Sria. de Agricultura y Desrrollo Rural, solicitando el apoyo para dar seguimiento a dicha solicitud._x000a_OFICIO AEEH/DG/063/2025, del 28/enero/25, turnado a Ing. Octavio Gómez Paulin_x000a_Cerrada."/>
    <x v="1"/>
    <x v="9"/>
    <x v="9"/>
    <s v="La Lagunilla"/>
    <n v="3"/>
    <n v="104"/>
    <s v="CENTRO ORIENTE"/>
  </r>
  <r>
    <n v="17"/>
    <s v="042"/>
    <s v="ENERO"/>
    <d v="2025-01-20T00:00:00"/>
    <s v="SEDECO/CGI/TI/065/2025"/>
    <s v="2*1S.4/02-2025_x000a_"/>
    <s v="Envía el oficio SEMARNATH/DGOET-0041/2025 en el que hace referencia al (POELP) de los Mpios. de  Atotonilco de Tula, Villa de Tezontepe, Tlanalapa, Tolcayuca, Zapotlán de Juárez y Zempoala, que estan siendo elaborados por la &quot;Consultoría JSM&quot;, representada por el C. José Suárez Monzalvo, quien requiere información específica de esta institución._x000a_Seguimiento al Turno-033"/>
    <s v="ARQ. DIEGO"/>
    <d v="2025-01-20T00:00:00"/>
    <s v="SI"/>
    <s v="PARA SU ATENCIÓN_x000a_Gestión_x000a_SDE-UCC-04315-25_x000a_Se da respuesta con Oficio AEEH/DG/137/2025, del 25-feb-25, turnado a Mtra. Mónica Patricia Mixtega Trejo, para su atención."/>
    <x v="0"/>
    <x v="2"/>
    <x v="1"/>
    <m/>
    <n v="1"/>
    <m/>
    <m/>
  </r>
  <r>
    <n v="18"/>
    <s v="047"/>
    <s v="ENERO"/>
    <d v="2025-01-22T00:00:00"/>
    <s v="SEDECO/CGI/TI/0071/2025_x000a_SDG/DGAP/161/2024"/>
    <s v="asesorias 2025_x000a_exp.12"/>
    <s v="Solicita se de atención a Lic. Ismael Robles Morales, del Mpio. de Mineal del Monte, quien solicita apoyo con alumbrado público en el barrio de San José Acosta a la comunidad de San Pedro Huixotitla, de dicho Mpio."/>
    <s v="ING. FRANCISCO"/>
    <d v="2025-02-05T00:00:00"/>
    <s v="SI"/>
    <s v="PARA SU ATENCIÓN_x000a_Gestión_x000a_SDE-AEEH-00233-25_x000a_Se da respuesta con oficio AEEH/DG/098/2025, de fecha 12/02/2025, enviado a Ing. Octavio Gómez Paulín_x000a_Cerrada."/>
    <x v="1"/>
    <x v="5"/>
    <x v="10"/>
    <s v="San Pedro Huixotitla"/>
    <n v="1"/>
    <n v="56"/>
    <s v="CENTRO ORIENTE"/>
  </r>
  <r>
    <n v="19"/>
    <s v="053"/>
    <s v="ENERO"/>
    <d v="2025-01-23T00:00:00"/>
    <s v="UPLAPH/DESP/080/2025"/>
    <s v="2*1S/05-2025_x000a_"/>
    <s v="Informa que se lleva a cabo la actualización de la información contenida en el Registo Único de Trámites y Servicios (RUTS) y que el término para realizar esta actualización conluye el 28/febrero/2025"/>
    <s v="ING. FRANCISCO"/>
    <d v="2025-02-05T00:00:00"/>
    <s v="SI"/>
    <s v="PARA SU ATENCIÓN_x000a_Gestión_x000a_SDE-AEEH-00240-25_x000a_Se da respuesta con oficio AEEH/DG/144/2025, de fecha 28/02/2025, enviado a Mtro. Miguel Ángel Tello Vargas"/>
    <x v="0"/>
    <x v="2"/>
    <x v="1"/>
    <m/>
    <n v="1"/>
    <m/>
    <m/>
  </r>
  <r>
    <n v="20"/>
    <s v="057"/>
    <s v="ENERO"/>
    <d v="2025-01-24T00:00:00"/>
    <s v="SEDECO/CGI/TI/0071/2025_x000a_SDG/DGAP/161/2024"/>
    <s v="_x000a_2*1S.1/01-2025 exp.14"/>
    <s v="Solicita se de atención al C. Leoncio Melo Hernández, del Mpio. de Calnali, quien solicita, apoyo para la condonación de un adeudo de energía eléctrica en su domicilio ubicado en la localidad de Tula, ya que no cuenta con el servicio desde hace varios años y aun le siguen llegando recibos, por un monto de $24,000."/>
    <s v="ING. FRANCISCO"/>
    <d v="2025-01-31T00:00:00"/>
    <s v="SI"/>
    <s v="PARA SU ATENCIÓN_x000a_Gestión _x000a_SDE-UCC-04406-25_x000a_Se da respuesta con oficio AEEH/DG/104/2025, de fecha 12/02/2025, enviado a Ing. Octavio Gómez Paulín"/>
    <x v="1"/>
    <x v="1"/>
    <x v="11"/>
    <s v="Tula"/>
    <n v="1"/>
    <n v="4"/>
    <s v="CENTRO ORIENTE"/>
  </r>
  <r>
    <n v="21"/>
    <s v="065"/>
    <s v="ENERO"/>
    <d v="2025-01-27T00:00:00"/>
    <s v="SC/OIC/AEEH/010/2025"/>
    <s v="2*1S/06-2025_x000a_"/>
    <s v="Solicita que remita reporte mensual de las encuestas que realiza la AEEH, con el usuario simulado, de los programas con los que cuenta esta Agencia"/>
    <s v="ING. FRANCISCO"/>
    <d v="2025-02-05T00:00:00"/>
    <s v="SI"/>
    <s v="Se da respuesta con oficio AEEH/DG/106/2025, de fecha 12/febrero/2025"/>
    <x v="0"/>
    <x v="2"/>
    <x v="1"/>
    <m/>
    <n v="1"/>
    <m/>
    <m/>
  </r>
  <r>
    <n v="22"/>
    <s v="066"/>
    <s v="ENERO"/>
    <d v="2025-01-27T00:00:00"/>
    <s v="SEDECO/CGI/TI/0096/2025_x000a_SDG/DGAP/317/2025"/>
    <s v="_x000a_2*1S.1/01-2025 exp.13"/>
    <s v="Solicita se de atención al C. Andrea Navarro Hernández y a la Profa. Martha Elena Resendiz Rodríguez, Directora de la Escuela Secundaria Gral. ubicada en Hacienda de guadalupe, del Mpio. de Tizayuca, quien solicita intervención ante CFE para que cuenten con el servicio de electricidad."/>
    <s v="ARQ. ORLANDO_x000a_ING. FRANCISCO"/>
    <d v="2025-02-05T00:00:00"/>
    <s v="SI"/>
    <s v="PARA SU ATENCIÓN_x000a_Gestión _x000a_SDE-UCC-04423-25_x000a_Se da respuesta con oficio AEEH/DG/099/2025, de fecha 12/02/2024, enviado a Ing. Octavio Gómez Paulín_x000a_Cerrada."/>
    <x v="1"/>
    <x v="3"/>
    <x v="12"/>
    <m/>
    <n v="2"/>
    <n v="351"/>
    <s v="CENTRO ORIENTE"/>
  </r>
  <r>
    <n v="23"/>
    <s v="069"/>
    <s v="ENERO"/>
    <d v="2025-01-27T00:00:00"/>
    <s v="SEDECO/CGI/TI/0116/2025_x000a_SDG/DGAP/336/2025"/>
    <s v="_x000a_2*1S.1/01-2025 exp.15"/>
    <s v="Solicita se de atención a la C. Marisol Bautista Moreno, quien solicita mediación con CFE para que sea retirado un poste de luz eléctrica, que se encuentra en un predio de su propiedad ubicado en Prolongación Santiago #119, Barrio Malinche, la Alcantarilla, Mpio. de Pachuca, Hgo."/>
    <s v="ARQ. ORLANDO"/>
    <d v="2025-02-05T00:00:00"/>
    <s v="SI"/>
    <s v="PARA SU ATENCIÓN_x000a_Gestión_x000a_SDE-AEEH-00234-25_x000a_Se da respuesta con oficio AEEH/DG/100/2025, de fecha 12/02/2025, enviado a Ing. Octavio Gómez Paulín"/>
    <x v="1"/>
    <x v="10"/>
    <x v="1"/>
    <s v="Barrio Malinche"/>
    <n v="2"/>
    <n v="4"/>
    <s v="CENTRO ORIENTE"/>
  </r>
  <r>
    <n v="24"/>
    <s v="079"/>
    <s v="ENERO"/>
    <d v="2025-01-30T00:00:00"/>
    <s v="PMH/DP/033/2025"/>
    <s v="(Diego)"/>
    <s v="Ing. Jorge Alberto Hernández Cortes, Presidente Mpal. de Huautla, Hgo., solicita apoyo para un diagnóstico en la localidad de Chiliteco, para participar en el programa de CFE Telecomunicaciones e Internet para Todos."/>
    <s v="ARQ. DIEGO"/>
    <d v="2025-01-30T00:00:00"/>
    <s v="SI"/>
    <s v="Se da respuesta con oficio AEEH/DG/090/2025, de fecha 07/02/2025, enviado al Pte. Mpal. de Huautla, Hgo., con la información solicitada_x000a_*El Pte. Mpal de Huautla, envía los datos solicitados mediante oficio PMH/DP/059/2025,de fecha 6 de febrero-2025"/>
    <x v="0"/>
    <x v="11"/>
    <x v="4"/>
    <m/>
    <n v="1"/>
    <m/>
    <m/>
  </r>
  <r>
    <n v="25"/>
    <s v="080"/>
    <s v="ENERO"/>
    <d v="2025-01-30T00:00:00"/>
    <s v="SEDECO/CGI/TI/0139/2025"/>
    <s v="Arq. Orlando"/>
    <s v="Ing. Octavio Gómez Paulin, remite la atención del poyecto de la empresa Tecogas, socio de la CANACINTRA e informa que para dicho tema se encuentra como enlace la Lic. Adriana Sánchez Arteaga, Directora de CANACINTRA"/>
    <s v="ARQ. ORLANDO"/>
    <d v="2025-01-30T00:00:00"/>
    <s v="SI"/>
    <m/>
    <x v="1"/>
    <x v="11"/>
    <x v="4"/>
    <m/>
    <n v="1"/>
    <m/>
    <m/>
  </r>
  <r>
    <n v="26"/>
    <s v="089"/>
    <s v="ENERO"/>
    <d v="2025-01-31T00:00:00"/>
    <s v="SEDECO/CGI/TI/0131/2025_x000a_SDG/DGAP/384/2025"/>
    <s v="_x000a_2*1S.1/01-2025 exp.16"/>
    <s v="Solicita se de atención a la C. Maura Ariadna Licona Jiménez, quien solicita mediación con CFE para la reconexión de luz eléctrica en su negocio y su domicilio doméstico, ubicado en Nayarit 701 Col. Insurgentes, Mpio. de Tulancingo; Hgo."/>
    <s v="ARQ. ORLANDO_x000a_ING. FRANCISCO"/>
    <d v="2025-02-07T00:00:00"/>
    <s v="SI"/>
    <s v="PARA SU ATENCIÓN_x000a_Gestión _x000a_SDE-UCC-04478-25_x000a_Se da respuesta con oficio AEEH/DG/103/2025, de fecha 12/02/2025, enviado a Ing. Octavio Gómez Paulín_x000a_Cerrada."/>
    <x v="1"/>
    <x v="1"/>
    <x v="13"/>
    <s v="Col. Insurgentes"/>
    <n v="1"/>
    <n v="6"/>
    <s v="CENTRO ORIENTE"/>
  </r>
  <r>
    <n v="27"/>
    <s v="091"/>
    <s v="FEBRERO"/>
    <d v="2025-02-04T00:00:00"/>
    <s v="SEDECO/CGI/TI/0144/2025_x000a_SDG/DGAP/400/2025"/>
    <s v="asesorias 2025_x000a_exp.17"/>
    <s v="Solicita se de atención al C. Carlos Abonce Téllez, quien solicita mediación con CFE para contar con el alumbrado público en la Calle Prolongación Ignacio Allende, Col. N.C.P.A. Chacón, Mpio. de Mineral de la Reforma"/>
    <s v="ING. FRANCISCO"/>
    <d v="2025-02-07T00:00:00"/>
    <s v="SI"/>
    <s v="PARA SU ATENCIÓN_x000a_Gestión _x000a_SDE-UCC-04500-25_x000a_Se da respuesta con oficio AEEH/DG/102/2025, de fecha 12/02/2025, enviado a Ing. Octavio Gómez Paulín_x000a_Cerrada."/>
    <x v="1"/>
    <x v="5"/>
    <x v="14"/>
    <m/>
    <n v="1"/>
    <n v="97"/>
    <s v="CENTRO ORIENTE"/>
  </r>
  <r>
    <n v="28"/>
    <s v="092"/>
    <s v="FEBRERO"/>
    <d v="2025-02-04T00:00:00"/>
    <s v="SEDECO/CGI/TI/0145/2025_x000a_SDG/DGAP/445/2025"/>
    <s v="_x000a_2*1S.1/01-2025 exp.18"/>
    <s v="Solicita se de atención al C. Juan Martínez Bautista, quien solicita mediación con CFE para esclarecer el motivo del costo elevado en su servicio de energía eléctrica en su domicilio en Calle Tezacualixco, Santiago II, Mpio. de Xochiatipan. "/>
    <s v="ING. FRANCISCO"/>
    <d v="2025-02-07T00:00:00"/>
    <s v="SI"/>
    <s v="PARA SU ATENCIÓN_x000a_Gestión _x000a_SDE-UCC-04504-25_x000a_Se da respuesta con oficio AEEH/DG/101/2025, de fecha 12/02/2025, enviado a Ing. Octavio Gómez Paulín_x000a_Cerrada"/>
    <x v="1"/>
    <x v="1"/>
    <x v="15"/>
    <s v="Santiago II"/>
    <n v="1"/>
    <n v="5"/>
    <s v="GOLFO CENTRO"/>
  </r>
  <r>
    <n v="29"/>
    <s v="107"/>
    <s v="FEBRERO"/>
    <d v="2025-02-07T00:00:00"/>
    <s v="SEDECO/CAyP/016/"/>
    <s v="Expediete -MIR"/>
    <s v="Solicita apoyo para el llenado del formato &quot;Indicadores-Fin-Propósito&quot; referente a los &quot;Criterios para el Registro y Actualización de la MIR 2025&quot;"/>
    <s v="ARQ. ORLANDO_x000a_ING. FRANCISCO"/>
    <d v="2025-02-12T00:00:00"/>
    <s v="SI"/>
    <s v="PARA SU ATENCIÓN_x000a_Gestión _x000a_SDE-DPLAN-00207-25_x000a_Se le informo al área de planeación, la programación de metas correspondientes a la DPIEyT"/>
    <x v="0"/>
    <x v="2"/>
    <x v="1"/>
    <m/>
    <n v="1"/>
    <m/>
    <m/>
  </r>
  <r>
    <n v="30"/>
    <s v="120"/>
    <s v="FEBRERO"/>
    <d v="2025-02-11T00:00:00"/>
    <s v="SSB/COR/-01.110-XTV-164-2025"/>
    <s v="_x000a_2*1S.1/01-2025 exp.1"/>
    <s v="M.A. Xaxay Turrubiates Vázquez, responsable de Zona Comercial Pachuca CFE, agenda una cita para el día 13-feb-2025, en sus oficinas Calle Ignacio Trigueros No. 58 Col. Centro, para tratar el asunto de la C. Genoveva Pérez Oropeza_x000a_Turnos 008 y 040"/>
    <s v="ARQ. ORLANDO"/>
    <d v="2024-01-12T00:00:00"/>
    <s v="SI"/>
    <s v="PARA SU ATENCIÓN_x000a_Gestión_x000a_SDE-AEEH-00226-25_x000a_Arq. Orlando Martínez, asiste a dicha reunión para dar seguimiento a la solicitud de la peticionaria._x000a_OFICIO AEEH/DG/062/2025, del 28/enero/25, turnado a Ing. Octavio Gómez Paulin_x000a_*Con oficio SSB/COR-01.110-XTV-176-2025, del 13/feb/25,  el M.A. Xaxay Turrubiates Vázquez, le envía respuesta a la C. Genoveva Pérez Oropeza"/>
    <x v="0"/>
    <x v="1"/>
    <x v="1"/>
    <m/>
    <n v="1"/>
    <m/>
    <s v="Zona Pachuca"/>
  </r>
  <r>
    <n v="31"/>
    <s v="123"/>
    <s v="FEBRERO"/>
    <d v="2025-02-13T00:00:00"/>
    <s v="SEDECO/CGI/TI/0189/2025_x000a_UPLAP/DESP/197/2025_x000a_CELSH/CCDM/018/2025"/>
    <s v="_x000a_2*1S.1/01-2025 exp.19"/>
    <s v="Envía oficio del Mtro. Miguel ángel Tello Vargas y oficio de la Dip. del Distrito V Cynthia Delgado Mendoza, quienes solicitan se atienda la solicitud de la C. María del Carmen Gonzalez García y Gilberto Cruz Ortíz, Delegada y Pte. del sistema de agua potable Xothi, mpio. de Chilcuautla, quien solicita paneles solares para dicho sistema de agua potable"/>
    <s v="ING. FRANCISCO"/>
    <d v="2025-02-14T00:00:00"/>
    <s v="SI"/>
    <s v="PARA SU ATENCIÓN_x000a_*Gestión _x000a_SDE-UCC-04585-25_x000a_Se da respuesta con oficio AEEH/DG/124/2025, de fecha 18/02/2025, enviado a Ing. Octavio Gómez Paulín_x000a_Cerrada."/>
    <x v="1"/>
    <x v="12"/>
    <x v="16"/>
    <s v="Xothi"/>
    <n v="2"/>
    <n v="320"/>
    <s v="CENTRO ORIENTE"/>
  </r>
  <r>
    <n v="32"/>
    <s v="128"/>
    <s v="FEBRERO"/>
    <d v="2025-02-18T00:00:00"/>
    <s v="UPLAPH/COEMERE/027/2025"/>
    <s v="2*1S/10-2025_x000a_"/>
    <s v="Con  la finalidad de dar cumplimiento a la Ley de Mejora Regulatoria para el Estado de Hidalgo, solicita que designe o ratifique al Enlace de Mejora Regulatoria "/>
    <s v=" ING. SANDRA"/>
    <d v="2025-02-18T00:00:00"/>
    <s v="SI"/>
    <s v="PARA SU ATENCIÓN_x000a_*Gestión _x000a_SDE-AEEH-00237-25_x000a_Se da respuesta con oficio AEEH/DG/120/2025, de fecha 18/02/2025, enviado al Mtro. Andrés Manning Novales, ratificando en el cargo a Arq. Orlando Martínez Juárez"/>
    <x v="0"/>
    <x v="2"/>
    <x v="2"/>
    <m/>
    <n v="1"/>
    <m/>
    <m/>
  </r>
  <r>
    <n v="33"/>
    <s v="129"/>
    <s v="FEBRERO"/>
    <d v="2025-02-18T00:00:00"/>
    <s v="SEMARNATH/DESP/DGOET-0042/2025"/>
    <s v="2*1S.4/02-2025_x000a_"/>
    <s v="Informa que los Mpios. de Mineral de la Reforma y San Felipe Orizatlán, tienen en proceso la elaboración de su Programa de Ordenamiento Ecológico Local Participativo (POELP) y solicita la participación en dichos talleres y solicita proporcione nombre y cargo del representante que dará atención a dicho tema."/>
    <s v="ARQ. ORLANDO_x000a_ARQ. DIEGO"/>
    <d v="2025-02-19T00:00:00"/>
    <s v="SI"/>
    <s v="PARA SU ATENCIÓN_x000a_Gestión _x000a_SDE-AEEH-00243-25_x000a_Se da respuesta con Oficio AEEH/DG/143/2025, del 28-feb-25, turnado a Mtra. Mónica Patricia Mixtega Trejo, para su atención"/>
    <x v="0"/>
    <x v="0"/>
    <x v="1"/>
    <m/>
    <n v="1"/>
    <m/>
    <m/>
  </r>
  <r>
    <n v="34"/>
    <s v="135"/>
    <s v="FEBRERO"/>
    <d v="2025-02-21T00:00:00"/>
    <s v="SEDECO/CGI/TI/0208/2025_x000a_SDG/DGAP/852/2025"/>
    <s v="_x000a_2*1S.1/01-2025 exp.20"/>
    <s v="Solicita se de atención al C. Arturo Muñoz Rivera, quien solicita apoyo para la adquisición de equipamiento para energía solar para su hogar, en la comunidad de Rancho Tonchi, municipio de Tlahuiltepa, Hgo."/>
    <s v="ING. FRANCISCO"/>
    <d v="2025-02-27T00:00:00"/>
    <s v="SI"/>
    <s v="PARA SU ATENCIÓN_x000a_Gestión _x000a_SDE-UCC-04649-25_x000a_Se da respuesta con oficio AEEH/DG/174/2025, de fecha 7/03/2025, enviado a Ing. Octavio Gómez Paulín_x000a_Cerrada."/>
    <x v="1"/>
    <x v="7"/>
    <x v="17"/>
    <s v="Rancho Tonchi"/>
    <n v="1"/>
    <n v="3"/>
    <s v="GOLFO CENTRO"/>
  </r>
  <r>
    <n v="35"/>
    <s v="138"/>
    <s v="FEBRERO"/>
    <d v="2025-02-21T00:00:00"/>
    <s v="SEDECO/SFE/087/2025"/>
    <s v="2*1S/10-2025_x000a_"/>
    <s v="Derivado de la reunión celebrada el dia17/02/2025, con los enlaces de Mejora Regulatoria y RUTS, envía una guía que tiene como finalidad ayudar en la identificación de las etapas para cada proceso de los trámites y servicios, esta guía también permitirá homologar la información solicitada"/>
    <s v="ING. FRANCISCO"/>
    <d v="2025-02-27T00:00:00"/>
    <s v="SI"/>
    <s v="PARA SU ATENCIÓN_x000a_*Gestión _x000a_SDE-AEEH-00248-25_x000a_Se da respuesta con Oficio AEEH/DG/172/2025, del 7-03-25, turnado a Mtro. Horacio Francisco Ríos Cano, con la información solicitada."/>
    <x v="0"/>
    <x v="2"/>
    <x v="1"/>
    <m/>
    <n v="1"/>
    <m/>
    <m/>
  </r>
  <r>
    <n v="36"/>
    <s v="140"/>
    <s v="FEBRERO"/>
    <d v="2025-02-24T00:00:00"/>
    <s v="SEDECO/CGI/TI/0214/2025_x000a_SDG/DGAP/900/2025"/>
    <s v="Diego"/>
    <s v="Solicita se de atención al C. Carmelo Santillan Tolentino, Delegado de la comunidad de San Esteban, Mpio. de Huehuetla, quien solicita apoyo ante CFE para la colocación de una antena o Torre de señal para dicha comunidad"/>
    <s v="ARQ. DIEGO"/>
    <d v="2025-02-27T00:00:00"/>
    <s v="SI"/>
    <s v="PARA SU ATENCIÓN_x000a_Gestión _x000a_SDE-UCC-04668-25_x000a_Se da respuesta con Oficio AEEH/DG/205/2025, del 19-03-25, turnado a Ing. Octavio Gómez Paulin"/>
    <x v="1"/>
    <x v="11"/>
    <x v="18"/>
    <m/>
    <n v="1"/>
    <m/>
    <s v="GOLFO CENTRO"/>
  </r>
  <r>
    <n v="37"/>
    <s v="144"/>
    <s v="FEBRERO"/>
    <d v="2025-02-26T00:00:00"/>
    <s v="SH-SI-DGR-DCV-798/2025"/>
    <s v="Sandra"/>
    <s v="En respuesta al oficio AEEH/DG/096/2025, la Dir. Gral. de Recaudación, envía en medio magnético, archivo en formato excel que contiene la información estadística solicitada en los numerales 1, 2 y 4  "/>
    <s v=" ING. SANDRA"/>
    <d v="2025-02-28T00:00:00"/>
    <s v="SI"/>
    <s v="Para conocimiento._x000a_"/>
    <x v="0"/>
    <x v="2"/>
    <x v="1"/>
    <m/>
    <n v="1"/>
    <m/>
    <m/>
  </r>
  <r>
    <n v="38"/>
    <s v="149"/>
    <s v="FEBRERO"/>
    <d v="2025-02-26T00:00:00"/>
    <s v="SEDECO/CGI/TI/0226/2025_x000a_SDG/DGAP/964/2025"/>
    <s v="_x000a_2*1S.1/01-2025 exp.21"/>
    <s v="Solicita se de atención al C. Gregorio Licona Flores, quien solicita apoyo para la implementación de la red eléctrica en Barrio La Palma, Col. Ojo de Agua, municipio de Huasca, Hgo."/>
    <s v="ING. FRANCISCO"/>
    <d v="2025-02-28T00:00:00"/>
    <s v="SI"/>
    <s v="PARA SU ATENCIÓN_x000a_Gestión _x000a_SDE-UCC-04677-25_x000a_Se da respuesta con oficio AEEH/DG/173/2025, de fecha 7/03/2025, enviado a Ing. Octavio Gómez Paulín_x000a_Cerrada."/>
    <x v="1"/>
    <x v="3"/>
    <x v="19"/>
    <s v="Barrio La Palma"/>
    <n v="3"/>
    <n v="40"/>
    <s v="CENTRO ORIENTE"/>
  </r>
  <r>
    <n v="39"/>
    <s v="151"/>
    <s v="FEBRERO"/>
    <d v="2025-02-28T00:00:00"/>
    <s v="SEDECO/CGI/TI/0239/2025_x000a_ALM/37/2025"/>
    <s v="Diego"/>
    <s v="María Marina Ramírez Sánchez, Presidenta Municipal de Almoloya, solicita apoyo con dos antenas de CFE, en dos localidades de dicho municipio, ya que no cuentan con este servicio._x000a_Seguimiento al Turno -158"/>
    <s v="ARQ. DIEGO"/>
    <d v="2025-02-28T00:00:00"/>
    <s v="SI"/>
    <s v="PARA SU ATENCIÓN_x000a_*Gestión _x000a_SDE-UCC-04656-25_x000a_Se da respuesta con oficio AEEH/DG/186/2025, de fecha 12-marzo-2025, enviado a María Marina Ramírez Sánchez, Pta. Mpal. de Almoloya_x000a_y oficio AEEH/DG/204/2025 del 18-03-2025, enviado a Ing. Octavio Gómez Paulín"/>
    <x v="1"/>
    <x v="11"/>
    <x v="6"/>
    <m/>
    <n v="1"/>
    <m/>
    <s v="CENTRO ORIENTE"/>
  </r>
  <r>
    <n v="40"/>
    <s v="157"/>
    <s v="MARZO"/>
    <d v="2025-03-03T00:00:00"/>
    <s v="SEDECO/CGI/TI/0243/2025_x000a_SDG/DGAP/1101/2025"/>
    <s v="_x000a_2*1S.1/01-2025 exp. 22"/>
    <s v="Los C. Gregorio Rosas Rodríguez, Hilario Olguín Florentino, Teódulo Rosas Rodríguez y Alfredo Medina Bonifacio, integrantes de la sociedad de productores de San Isidro Boxaxni S.R.L. M.I. , Mpio. de Mixquiahuala, Hgo., solicitan mediación con CFE  por una problemática de adeudo con sus cuotas energéticas en un pozo agrícola."/>
    <s v="ING. FRANCISCO"/>
    <d v="2025-03-10T00:00:00"/>
    <s v="SI"/>
    <s v="PARA SU ATENCIÓN_x000a_Gestión _x000a_SDE-UCC-04712-25_x000a_Se da respuesta con oficio AEEH/DG/191/2025, de fecha 13/03/2025, enviado a Ing. Octavio Gómez Paulín_x000a_Cerrada."/>
    <x v="1"/>
    <x v="1"/>
    <x v="20"/>
    <s v="Boxaxni"/>
    <n v="4"/>
    <m/>
    <s v="CENTRO ORIENTE"/>
  </r>
  <r>
    <n v="41"/>
    <s v="158"/>
    <s v="MARZO"/>
    <d v="2025-03-03T00:00:00"/>
    <s v="SEDECO/CGI/TI/0246/2025_x000a_SDG/DGAP/1155/2025_x000a_ALM/37/2025"/>
    <s v="Diego"/>
    <s v="María Marina Ramírez Sánchez, Presidenta Mpal. de Almoloya, solicita apoyo con dos antenas de CFE, en dos localidades de dicho municipio, ya que no cuentan con este servicio._x000a_Seguimiento al Turno -151"/>
    <s v="ARQ. DIEGO"/>
    <d v="2025-03-10T00:00:00"/>
    <s v="SI"/>
    <s v="PARA SU ATENCIÓN_x000a_*Gestión _x000a_SDE-UCC-04732-25_x000a_Se da respuesta con oficio AEEH/DG/186/2025, de fecha 12/03/2025, enviado a María Marina Ramírez Sánchez, Pta. Mpal. de Almoloya_x000a_y oficio AEEH/DG/204/2025 del 18-03-2025, enviado a Ing. Octavio Gómez Paulín"/>
    <x v="1"/>
    <x v="11"/>
    <x v="6"/>
    <m/>
    <n v="1"/>
    <m/>
    <s v="CENTRO ORIENTE"/>
  </r>
  <r>
    <n v="42"/>
    <s v="159"/>
    <s v="MARZO"/>
    <d v="2025-03-03T00:00:00"/>
    <s v="SEDECO/CGI/TI/0247/2025_x000a_SDG/DGAP/1102/2025"/>
    <s v="_x000a_2*1S.1/01-2025 exp. 23"/>
    <s v="Solicita se de atención al C. José de Jesús Olvera Reyes, del municipio de Mixquiahuala, quien solicita apoyo para la instalación de una empresa social con el fin de instalar 1000 calentadores solares en beneficio de la población, con un costo de $9,450 _x000a_Seguimiento al turno - 211"/>
    <s v="ARQ. ORLANDO"/>
    <d v="2025-03-10T00:00:00"/>
    <s v="SI"/>
    <s v="PARA SU ATENCIÓN_x000a_Gestión _x000a_SDE-UCC-04711-25_x000a_Se da respuesta con oficio AEEH/DG/243/2025, de fecha 03-04-2025, enviado a  Ing. Octavio Gómez Paulín_x000a_Cerrada"/>
    <x v="1"/>
    <x v="7"/>
    <x v="20"/>
    <m/>
    <n v="1"/>
    <n v="1"/>
    <s v="CENTRO ORIENTE"/>
  </r>
  <r>
    <n v="43"/>
    <s v="160"/>
    <s v="MARZO"/>
    <d v="2025-03-03T00:00:00"/>
    <s v="ITESHU/DG/203-1/2025"/>
    <s v="2*1S.4/02-2025"/>
    <s v="Mtra. Imelda Pérez Espinoza, Dir. Gral. del Instituto Tecnológico Superior de Huichapan, ITESHU, hace invitación para integrarse como miembro del Comité de Grupos de Interés de Ingeniería en Energías Renovables, que se llevará a cabo el día 07/03/2025, en la Sala de Vinculación de dicho Instituto. "/>
    <s v="ARQ. ORLANDO"/>
    <d v="2025-03-06T00:00:00"/>
    <s v="SI"/>
    <s v="Arq. Orlando Martínez, asiste a dicha reunión, en representación de Arq. Ivonne Ramírez Núñez"/>
    <x v="0"/>
    <x v="0"/>
    <x v="21"/>
    <m/>
    <n v="1"/>
    <m/>
    <m/>
  </r>
  <r>
    <n v="44"/>
    <s v="166"/>
    <s v="MARZO"/>
    <d v="2025-03-04T00:00:00"/>
    <s v="B00.912.00.3.-00314"/>
    <m/>
    <s v="M.I. José Ángel Félix Sánchez, Director Local Hidalgo de la CONAGUA, envía respuesta del oficio AEEH/DG/086/2025, de fecha 7 de febrero 2025."/>
    <s v="ARQ. DIEGO"/>
    <d v="2025-03-06T00:00:00"/>
    <s v="SI"/>
    <m/>
    <x v="0"/>
    <x v="2"/>
    <x v="1"/>
    <m/>
    <n v="1"/>
    <m/>
    <m/>
  </r>
  <r>
    <n v="45"/>
    <s v="171"/>
    <s v="MARZO"/>
    <d v="2025-03-05T00:00:00"/>
    <s v="SEDECO/CGI/TI/0248/2025_x000a_SDG/DGAP/1253/2025"/>
    <s v="asesorias 2025_x000a_exp. 24"/>
    <s v="Solicita se de atención a la C. Yesenia García Nolasco, de la Col. Jardines, Mpio. de Emiliano Zapata, quien solicita apoyo para la instalación del alumbrado público en dicho lugar"/>
    <s v="ING. FRANCISCO"/>
    <d v="2025-03-10T00:00:00"/>
    <s v="SI"/>
    <s v="PARA SU ATENCIÓN_x000a_Gestión _x000a_SDE-UCC-04757-25_x000a_Se da respuesta con oficio AEEH/DG/189/2025, de fecha 13/03/2025, enviado a Ing. Octavio Gómez Paulín_x000a_Cerrada"/>
    <x v="1"/>
    <x v="5"/>
    <x v="22"/>
    <m/>
    <n v="1"/>
    <n v="16"/>
    <s v="Zona Tulancingo"/>
  </r>
  <r>
    <n v="46"/>
    <s v="172"/>
    <s v="MARZO"/>
    <d v="2025-03-05T00:00:00"/>
    <s v="SEDECO/CGI/TI/0249/2025_x000a_SDG/DGAP/1254/2025"/>
    <s v="asesorias 2025_x000a_exp.25"/>
    <s v="Solicita se de atención a la C. Laura Uribe Sánchez, quien solicita apoyo para la instalación del alumbrado público en la Calle Felipe Ángeles (Chamizal), Mpio. de Emiliano Zapata"/>
    <s v="ING. FRANCISCO"/>
    <d v="2025-03-10T00:00:00"/>
    <s v="SI"/>
    <s v="PARA SU ATENCIÓN_x000a_Gestión _x000a_SDE-UCC-04758-25_x000a_Se da respuesta con oficio AEEH/DG/190/2025, de fecha 13/03/2025, enviado a Ing. Octavio Gómez Paulín_x000a_Cerrada"/>
    <x v="1"/>
    <x v="5"/>
    <x v="22"/>
    <m/>
    <n v="1"/>
    <n v="91"/>
    <s v="Zona Tulancingo"/>
  </r>
  <r>
    <n v="47"/>
    <s v="174"/>
    <s v="MARZO"/>
    <d v="2025-03-06T00:00:00"/>
    <s v="SEDECO/CAyP/274/2025"/>
    <s v="Exp. Programas"/>
    <s v="Solicita copia de la Dictaminación del Expediente Técnico y Oficio de Autorización para el ejercicio fiscal 2025 y en caso de no contar con este, solicita informe del estatus en el que se encuentran los registros de los programas: Energía que Transforma y energía para el Binenestar. "/>
    <s v="ARQ. ORLANDO"/>
    <d v="2025-03-10T00:00:00"/>
    <s v="SI"/>
    <s v="PARA SU ATENCIÓN_x000a_Gestión _x000a_SDE-SSEV-00159-25_x000a_SDE-AEEH-00277-25_x000a_Se da respuesta con oficio AEEH/DG/360/2025, de fecha 12/mayo/2025, enviado a Mtra. Jessica Esperanza González Díaz._x000a_Y oficio AEEH-DG-535-2025, del 1-julio-2025"/>
    <x v="0"/>
    <x v="2"/>
    <x v="1"/>
    <m/>
    <n v="1"/>
    <m/>
    <m/>
  </r>
  <r>
    <n v="48"/>
    <s v="185"/>
    <s v="MARZO"/>
    <d v="2025-03-12T00:00:00"/>
    <s v="SEDECO/CGI/TI/0263/2025_x000a_SDG/DGAP/1352/2025"/>
    <s v="_x000a_2*1S.1/01-2025 exp. 26"/>
    <s v="Solicita se de atención a la C. Merlim Guadalupe Hernández  Rubio, de la comunidad de Las Antenas, Mpio. de Chapulhuacan, quien solicita una medicación con CFE  para la reubicación de dos postes de luz con cableado de alta tensión, en dicho lugar."/>
    <s v="ING. FRANCISCO"/>
    <d v="2025-03-26T00:00:00"/>
    <s v="SI"/>
    <s v="PARA SU ATENCIÓN_x000a_Gestión _x000a_SDE-UCC-04776-25_x000a_Se da respuesta con oficio  AEEH/DG/244/2025, del 3-abril-25, a la Pta. Mpal. de Almoloya, solicitando información adicional, para dar continuidad a su solicitud"/>
    <x v="1"/>
    <x v="10"/>
    <x v="23"/>
    <s v="Las Antenas"/>
    <n v="1"/>
    <n v="300"/>
    <s v="DIVISION BAJIO"/>
  </r>
  <r>
    <n v="49"/>
    <s v="186"/>
    <s v="MARZO"/>
    <d v="2025-03-12T00:00:00"/>
    <s v="SEDECO/CGI/TI/0265/2025_x000a_SDG/DGAP/1379/2025"/>
    <s v="_x000a_2*1S.1/01-2025 exp. 27"/>
    <s v="Solicita se de atención al C. Antonio Cruz Ángeles y Luis López Hernández, representante de Manzana y Delegado municipal, de Santa María Magdalena El Jaspe, Municipio de Actopan, quien solicita apoyo con la ampliación de red eléctrica, para beneficio de 15 ciudadanos."/>
    <s v="ING. FRANCISCO"/>
    <d v="2025-03-26T00:00:00"/>
    <s v="SI"/>
    <s v="PARA SU ATENCIÓN_x000a_Gestión _x000a_SDE-AEEH-00257-25_x000a_SDE-UCC-04779-25_x000a_Se da respuesta con oficio AEEH/DG/239/2025, de fecha 03/04/2025, enviado a  Ing. Octavio Gómez Paulín_x000a_Cerrada"/>
    <x v="1"/>
    <x v="3"/>
    <x v="8"/>
    <s v="Santa María Magdalena _x000a_El Jaspe"/>
    <n v="2"/>
    <n v="15"/>
    <s v="CENTRO ORIENTE"/>
  </r>
  <r>
    <n v="50"/>
    <s v="187"/>
    <s v="MARZO"/>
    <d v="2025-03-12T00:00:00"/>
    <s v="SEDECO/CGI/TI/0266/2025_x000a_SDG/DGAP/1172/2025"/>
    <s v="Diego"/>
    <s v="María Marina Ramírez Sánchez, Presidenta Mpal. de Almoloya, solicita apoyo con la istalación de señal de internet gratuito, en beneficio de dicho municipio._x000a_Seguimiento del Turno 281"/>
    <s v="ARQ. DIEGO"/>
    <d v="2025-03-26T00:00:00"/>
    <s v="SI"/>
    <s v="PARA SU ATENCIÓN_x000a_SDE-UCC-04734-25_x000a_SDE-AEEH-00255-25_x000a_Se le envía oficio AEEH/DG/227/2025, del 31-marzo-25, a la Pta. Mpal. de Almoloya, solicitando información adicional, para dar continuidad a su solicitud."/>
    <x v="1"/>
    <x v="11"/>
    <x v="6"/>
    <m/>
    <n v="1"/>
    <m/>
    <s v="CENTRO ORIENTE"/>
  </r>
  <r>
    <n v="51"/>
    <s v="199"/>
    <s v="MARZO"/>
    <d v="2025-03-14T00:00:00"/>
    <s v="CFEE.042.2025"/>
    <s v="2*1S/03-2025"/>
    <s v="Ing. Héctor Francisco Ledezma Aguirre, Coordinador de Fomento de la Eficiencia Energética, hace del conocimiento que la CONUEE realizará el Plan Nacional de Capacitación de Eficiencia Energética para Funcionarios Públicos Estatales y Municipales y envía el temario de las fechas y horarios de los conversatorios y conferencias técnicas y magistrales que se brindaran"/>
    <s v="ARQ. ORLANDO_x000a_ING. FRANCISCO_x000a_ARQ. DIEGO"/>
    <d v="2025-03-26T00:00:00"/>
    <s v="SI"/>
    <s v="Para conocimiento."/>
    <x v="0"/>
    <x v="0"/>
    <x v="24"/>
    <m/>
    <n v="1"/>
    <m/>
    <m/>
  </r>
  <r>
    <n v="52"/>
    <s v="200"/>
    <s v="MARZO"/>
    <d v="2025-03-14T00:00:00"/>
    <s v="SEDECO/CGI/TI/0281/2025_x000a_SDG/131/2025"/>
    <s v="Diego"/>
    <s v="Dr. Carlos Cesar Pérez Escamilla, Pte. Mpal. de San Felipe Orizatlán, Solicita apoyo para evaluar y analizar la posibilidad de reestructurar la tarifa eléctrica de dicho municipio."/>
    <s v="ING. FRANCISCO_x000a_ARQ. DIEGO"/>
    <d v="2025-03-26T00:00:00"/>
    <s v="SI"/>
    <s v="PARA SU ATENCIÓN_x000a_SDE-UCC-04807-25_x000a_Se da respuesta con Tarjeta Informativa, enviada a Ing. Carlos Henkel Escorza, Secretario de SEDECO, 06-junio-2025"/>
    <x v="0"/>
    <x v="1"/>
    <x v="25"/>
    <m/>
    <n v="1"/>
    <m/>
    <m/>
  </r>
  <r>
    <n v="53"/>
    <s v="203"/>
    <s v="MARZO"/>
    <d v="2025-03-18T00:00:00"/>
    <s v="SG/ST/087-25/2025"/>
    <s v="2*1S.4/02-2025"/>
    <s v="Mtro. Josué Jasan Vargas Olmos, Srio. Técnico del Srio. de Gobierno, hace invitación para asistir al evento de Reforzamiento Estratégico de Protocolos de Atención y Manejo de Riesgos de Hidrocarburos, que se llevara a cabo el 20 de marzo a las 10:45, en el Centro Vacacional Ajacuba, Balneario, Francisco I. Madero #18 Col. Centro Ajacuba, Hgo.  "/>
    <s v="ARQ. ORLANDO"/>
    <d v="2025-03-19T00:00:00"/>
    <s v="SI"/>
    <s v="Arq. Orlando Martínez Juárez e Ing. Francisco Callejas Pérez, asisten a dicha evento, en representación de Arq. Ivonne Ramírez Núñez"/>
    <x v="0"/>
    <x v="0"/>
    <x v="1"/>
    <m/>
    <n v="1"/>
    <m/>
    <m/>
  </r>
  <r>
    <n v="54"/>
    <s v="209"/>
    <s v="MARZO"/>
    <d v="2025-03-20T00:00:00"/>
    <s v="SEDECO/CGI/TI/0291/2025_x000a_SDG/DGAP/1520/2025"/>
    <s v="asesorias 2025_x000a_exp. 28"/>
    <s v="Solicita se de atención al C. Ricardo Sánchez Hernández, del  Municipio de Zacualtipan, quien solicita apoyo con alumbrado público en la Col. La Joya, de dicho lugar"/>
    <s v="ING. FRANCISCO"/>
    <d v="2025-03-26T00:00:00"/>
    <s v="SI"/>
    <s v="PARA SU ATENCIÓN_x000a_GESTIÓN_x000a_SDE-AEEH-00258-25_x000a_SDE-UCC-04842-25_x000a_Se da respuesta con oficio AEEH/DG/240/2025, de fecha 03/04/2025, enviado a  Ing. Octavio Gómez Paulín_x000a_Cerrada"/>
    <x v="1"/>
    <x v="5"/>
    <x v="26"/>
    <m/>
    <n v="1"/>
    <n v="92"/>
    <s v="Zona Huejutla"/>
  </r>
  <r>
    <n v="55"/>
    <s v="211"/>
    <s v="MARZO"/>
    <d v="2025-03-21T00:00:00"/>
    <s v="SEDECO/CGI/TI/0301/2025_x000a_SDG/DGAP/1103/2025_x000a_SEMARNATH/DESP/DGCC/DS-0032/2025"/>
    <s v="_x000a_2*1S.1/01-2025 exp. 23"/>
    <s v="Solicita se de atención al C. José de Jesús Olvera Reyes, del municipio de Mixquiahuala, quien solicita apoyo para la adquisición de calentadores solares en beneficio de la población de dicho lugar._x000a_Seguimiento al Turno-159 "/>
    <s v="ARQ. ORLANDO"/>
    <d v="2025-03-26T00:00:00"/>
    <s v="SI"/>
    <s v="PARA SU ATENCIÓN_x000a_GESTIÓN_x000a_SDE-UCC-04845-25_x000a_Se da respuesta con oficio AEEH/DG/243/2025, de fecha 03/04/2025, enviado a  Ing. Octavio Gómez Paulín_x000a_Cerrada"/>
    <x v="0"/>
    <x v="7"/>
    <x v="20"/>
    <m/>
    <n v="1"/>
    <m/>
    <s v="CENTRO ORIENTE"/>
  </r>
  <r>
    <n v="56"/>
    <s v="213"/>
    <s v="MARZO"/>
    <d v="2025-03-21T00:00:00"/>
    <s v="CIRCULAR DGN-DVE/001/25"/>
    <s v="_x000a_2*1S/03-2025 "/>
    <s v="Informa la consolidación de un padrón de empresas integras, el cual es un registro de empresas integras que han demostrado un compromiso con la integridad y la transparencia. "/>
    <s v="ARQ. ORLANDO"/>
    <d v="2025-03-26T00:00:00"/>
    <s v="SI"/>
    <s v="Para conocimiento."/>
    <x v="0"/>
    <x v="2"/>
    <x v="1"/>
    <m/>
    <m/>
    <m/>
    <m/>
  </r>
  <r>
    <n v="57"/>
    <s v="214"/>
    <s v="MARZO"/>
    <d v="2025-03-25T00:00:00"/>
    <s v="SEDECO/CGI/TI/0309/2025_x000a_SEMARNAT/DESP/SSyCC/DGCC-199/2025"/>
    <s v="Exp.-Diego"/>
    <s v="En el marco del fortalecimiento de la Política Climática en Hidalgo y conforme al Plan Estatal de Desarrollo 2022-2028, corresponde a la línea de acción 4.4.4.2. actualizar, instrumentar y evaluar un programa y estrategia estatal de mitigación y adaptación de cambio climático, solicita información estatal para la estimación de emisiones de gases y compuestos de efecto invenadero. "/>
    <s v="ARQ. ORLANDO_x000a_ARQ. DIEGO"/>
    <d v="2025-03-27T00:00:00"/>
    <s v="SI"/>
    <s v="PARA SU ATENCIÓN_x000a_GESTIÓN_x000a_SDE-UCC-04889-25_x000a_Se da respuesta con oficio AEEH/DG/228/2025, de fecha 31/03/2025, enviado a SEMARNAT"/>
    <x v="0"/>
    <x v="2"/>
    <x v="1"/>
    <m/>
    <n v="1"/>
    <m/>
    <m/>
  </r>
  <r>
    <n v="58"/>
    <s v="217"/>
    <s v="MARZO"/>
    <d v="2025-03-26T00:00:00"/>
    <s v="SEDECO/CGI/TI/0324/2025_x000a_SDG/DGAP/1744/2025"/>
    <s v="_x000a_2*1S.1/01-2025 exp. 29"/>
    <s v="Solicita se de atención a los C. Santos Hernández Hernández, Deleg. Mpal., Eduardo Medina Martínez, Pte. de la APF y Mtra. Bernardina Hdez. Tolentino, Dir. de la Escuela Primaria Indigena &quot;Vicente Guerrero&quot;, del Mpio. de Huejutla, solicitan ampliación de carga de la energía electrica y la estructura para un transformador, para dicha escuela"/>
    <s v="ARQ. ORLANDO_x000a_ING. FRANCISCO"/>
    <d v="2025-03-31T00:00:00"/>
    <s v="SI"/>
    <s v="PARA SU ATENCIÓN_x000a_GESTIÓN_x000a_SDE-UCC-04941-25_x000a_Se da respuesta con oficio AEEH/DG/272/2025, de fecha 14/04/2025, enviado a  Ing. Octavio Gómez Paulín"/>
    <x v="1"/>
    <x v="8"/>
    <x v="27"/>
    <m/>
    <n v="3"/>
    <m/>
    <s v="GOLFO CENTRO"/>
  </r>
  <r>
    <n v="59"/>
    <s v="218"/>
    <s v="MARZO"/>
    <d v="2025-03-26T00:00:00"/>
    <s v="SEDECO/CGI/TI/0325/2025_x000a_SDG/DGAP/1747/2025"/>
    <s v="_x000a_2*1S.1/01-2025 exp. 30"/>
    <s v="Solicita se de atención al C. Telesforo Hernández, Victor Hdez. y Antonio Pascual Hdez. , de la Delegación Mpla, de Aguacatitla, Mpio. de Jaltocan, solicitan suministro y distribución de energía eléctrica para dicho lugar."/>
    <s v="ING. FRANCISCO"/>
    <d v="2025-03-31T00:00:00"/>
    <s v="SI"/>
    <s v="PARA SU ATENCIÓN_x000a_GESTIÓN_x000a_SDE-UCC-04943-25_x000a_Se da respuesta con oficio AEEH/DG/273/2025, de fecha 14/04/2025, enviado a  Ing. Octavio Gómez Paulín_x000a_Cerrada"/>
    <x v="1"/>
    <x v="3"/>
    <x v="28"/>
    <s v="Aguacatitla"/>
    <n v="3"/>
    <m/>
    <s v="GOLFO CENTRO"/>
  </r>
  <r>
    <n v="60"/>
    <s v="219"/>
    <s v="MARZO"/>
    <d v="2025-03-26T00:00:00"/>
    <s v="SEDECO/CGI/TI/0326/2025_x000a_SDG/DGAP/1748/2025"/>
    <s v="_x000a_2*1S.1/01-2025 exp. 31"/>
    <s v="Solicita se de atención a la C.Juana Hdez. Gabino, Alberto Hdez. Hdez., Epifanio Hdez. Hdez. e Isidoro Hdez. Hdez., Delegados del Barrio El Mirador,  Mpio. de Jaltocan, solicitan ampliación de luz eléctrica en el callejón conocido como Tlapani, 300 mts. apox."/>
    <s v="ING. FRANCISCO"/>
    <d v="2025-03-31T00:00:00"/>
    <s v="SI"/>
    <s v="PARA SU ATENCIÓN_x000a_GESTIÓN_x000a_SDE-UCC-04946-25Se da respuesta con oficio AEEH/DG/274/2025, de fecha 14/04/2025, enviado a  Ing. Octavio Gómez Paulín_x000a_Cerrada"/>
    <x v="1"/>
    <x v="3"/>
    <x v="28"/>
    <s v="Barrio El Mirador"/>
    <n v="4"/>
    <m/>
    <s v="GOLFO CENTRO"/>
  </r>
  <r>
    <n v="61"/>
    <s v="220"/>
    <s v="MARZO"/>
    <d v="2025-03-26T00:00:00"/>
    <s v="SEDECO/CGI/TI/0327/2025_x000a_SDG/DGAP/1749/2025"/>
    <s v="asesorias 2025_x000a_exp. 32"/>
    <s v="Solicita se de atención al C. Alberto Hdez. Hdez. y Epifanio Hdez. Hdez., Delegados del Barrio El Mirador,  Mpio. de Jaltocan, solicitan la instalación de 3 postes de energía para la calle que se encuentra a la orilla del río conocido como Coaxocoixpa."/>
    <s v="ING. FRANCISCO"/>
    <d v="2025-03-31T00:00:00"/>
    <s v="SI"/>
    <s v="PARA SU ATENCIÓN_x000a_GESTIÓN_x000a_SDE-AEEH-00259-25_x000a_Se da respuesta con oficio AEEH/DG/275/2025, de fecha 14/04/2025, enviado a  Ing. Octavio Gómez Paulín_x000a_Cerrada"/>
    <x v="1"/>
    <x v="5"/>
    <x v="28"/>
    <m/>
    <n v="2"/>
    <m/>
    <s v="Zona Huejutla"/>
  </r>
  <r>
    <n v="62"/>
    <s v="221"/>
    <s v="MARZO"/>
    <d v="2025-03-26T00:00:00"/>
    <s v="SEDECO/CGI/TI/0328/2025_x000a_SDG/DGAP/1172/2025"/>
    <s v="_x000a_2*1S.1/01-2025 exp. 33"/>
    <s v="Solicita se de atención a la C. María Guadalupe Domínguez Róldan, del Mpio. de Pachuca, quien solicita la reubicación de un poste para beneficio de su comunidad."/>
    <s v="ING. FRANCISCO"/>
    <d v="2025-03-31T00:00:00"/>
    <s v="SI"/>
    <s v="PARA SU ATENCIÓN_x000a_GESTIÓN_x000a_SDE-UCC-04934-25_x000a_Se da respuesta con oficio AEEH/DG/276/2025, de fecha 14/04/2025, enviado a  Ing. Octavio Gómez Paulín"/>
    <x v="1"/>
    <x v="10"/>
    <x v="1"/>
    <m/>
    <n v="1"/>
    <m/>
    <s v="CENTRO ORIENTE"/>
  </r>
  <r>
    <n v="63"/>
    <s v="235"/>
    <s v="ABRIL"/>
    <d v="2025-04-01T00:00:00"/>
    <s v="SEDECO/CGI/TI/0351/2025_x000a_SEMSyS/DGFySD/182/2025"/>
    <s v="Exp.-Diego"/>
    <s v="Daniel Fragoso Torres, Subsecretario de Educación Media Superior, solicita la donación de tres calentadores solares destinados a la Escuela Normal Rural Luis Villareal &quot;El Mexe&quot; "/>
    <s v="ARQ. ORLANDO "/>
    <d v="2025-04-11T00:00:00"/>
    <s v="SI"/>
    <s v="PARA SU ATENCIÓN_x000a_GESTIÓN_x000a_SDE-UCC-04956-25_x000a_Se da respuesta con oficio AEEH/DG/312/2025, de fecha 29/04/2025, enviado al peticionario para su atención."/>
    <x v="0"/>
    <x v="7"/>
    <x v="2"/>
    <s v="El Mexe"/>
    <n v="1"/>
    <m/>
    <s v="CENTRO ORIENTE"/>
  </r>
  <r>
    <n v="64"/>
    <s v="243"/>
    <s v="ABRIL"/>
    <d v="2025-04-03T00:00:00"/>
    <s v="PM/312/2025"/>
    <s v="_x000a_2*1S.1/01-2025 exp.(50)"/>
    <s v="Dra. María Zorayda Robles Barrera, Pta. Mpal. de Apan , Solicita asesoría técnica y orientación especializada para poder llevar a cabo la transición de la energía utilizada en los pozos de agua y en toda la infraestructura del municipio hacia fuentes de energía limpia y renovable."/>
    <s v="ARQ. ORLANDO "/>
    <d v="2025-04-11T00:00:00"/>
    <s v="SI"/>
    <s v="Se da respuesta con oficio AEEH/DG/342/2025, de fecha 12/mayo/25, enviado a Dra. María Zorayda Robles Barrera, Pta. Mpal. de Apan, enviado por correo de fecha 14/05/2025."/>
    <x v="0"/>
    <x v="7"/>
    <x v="29"/>
    <m/>
    <n v="1"/>
    <m/>
    <s v="CENTRO ORIENTE"/>
  </r>
  <r>
    <n v="65"/>
    <s v="250"/>
    <s v="ABRIL"/>
    <d v="2025-04-04T00:00:00"/>
    <s v="SEDECO/CGI/TI/0367/2025_x000a_SDG/DGAP/1964/2025"/>
    <s v="_x000a_2*1S.1/01-2025 exp. 34"/>
    <s v="Solicita se de atención a la C. Cindy Yuridia Sánchez Márquez, Delegada del Puerto del Caballo  Mpio. de Chapulhuacan, quien solicita apoyo ante CFE para la reubicación, cambio y/o mantenimiento de postes de alta tensión, ya que se encuentran muy deteriorados."/>
    <s v="ING. FRANCISCO"/>
    <d v="2025-04-11T00:00:00"/>
    <s v="SI"/>
    <s v="PARA SU ATENCIÓN_x000a_GESTIÓN_x000a_SDE-UCC-05037-25_x000a_Se da respuesta con oficio AEEH/DG/303/2025, de fecha 28/abril/25, enviado a Ing. Octavio Gómez Paulín"/>
    <x v="1"/>
    <x v="10"/>
    <x v="23"/>
    <s v="El Puerto del Caballo"/>
    <n v="1"/>
    <m/>
    <s v="DIVISION BAJIO"/>
  </r>
  <r>
    <n v="66"/>
    <s v="254"/>
    <s v="ABRIL"/>
    <d v="2025-04-08T00:00:00"/>
    <s v="SEDECO/CGI/TI/0377/2025_x000a_SDG/DGAP/1996/2025"/>
    <s v="_x000a_2*1S.1/01-2025 exp. 36"/>
    <s v="Solicita se de atención a Mtra. Nelly de Jesús Chapa Contreras, Dir. del Plantel, Gumersindo Rubio Ponce, Pte. del CPF., Mireya Rubio Hdez., Tesorera, Blanca Flor Vázquez Barrera, Sria. y  Osbaldo Esteban Zapata, de Santa Ana de Allende Mpio. de Chapulhuacan, solicitan apoyo con la rehabilitación y ampliación de energía eléctrica del CECyTEH, de dicho lugar."/>
    <s v="ING. FRANCISCO"/>
    <d v="2025-04-14T00:00:00"/>
    <s v="SI"/>
    <s v="PARA SU ATENCIÓN_x000a_GESTIÓN_x000a_SDE-UCC-05030-25_x000a_Se da respuesta con oficio AEEH/DG/305/2025, de fecha 28/abril/25, enviado a Ing. Octavio Gómez Paulín_x000a_Cerrada"/>
    <x v="1"/>
    <x v="6"/>
    <x v="23"/>
    <s v="Santa Ana de Allende"/>
    <n v="5"/>
    <m/>
    <s v="DIVISION BAJIO"/>
  </r>
  <r>
    <n v="67"/>
    <s v="255"/>
    <s v="ABRIL"/>
    <d v="2025-04-08T00:00:00"/>
    <s v="SEDECO/CGI/TI/0378/2025_x000a_SDG/DGAP/2094/2025"/>
    <s v="_x000a_2*1S.1/01-2025 exp. 35"/>
    <s v="Solicita se de atención al C. Ignacio Resendiz Serrano, Delegado Auxiliar de Palo Semita, municipio de Chapulhuacan, quien solicita ampliación del sumuinistro de energía eléctrica para los pobladores de El Chinillal en dicha comunidad."/>
    <s v="ING. FRANCISCO"/>
    <d v="2025-04-14T00:00:00"/>
    <s v="SI"/>
    <s v="PARA SU ATENCIÓN_x000a_GESTIÓN_x000a_SDE-UCC-05057-25_x000a_Se da respuesta con oficio AEEH/DG/304/2025, de fecha 28/abril/25, enviado a Ing. Octavio Gómez Paulín_x000a_Cerrada"/>
    <x v="1"/>
    <x v="3"/>
    <x v="23"/>
    <s v="Palo Semita_x000a_El Chinillal"/>
    <n v="1"/>
    <m/>
    <s v="DIVISION BAJIO"/>
  </r>
  <r>
    <n v="68"/>
    <s v="256"/>
    <s v="ABRIL"/>
    <d v="2025-04-08T00:00:00"/>
    <s v="SEDECO/CGI/TI/0371/2025_x000a_SDG/DGAP/1948/2025"/>
    <s v="_x000a_2*1S.1/01-2025 exp. 39"/>
    <s v="Solicita se de atención a lng. Fernando Rubio Quijano, del municipio de Chapulhuacan, quien solicita intervención ante CFE, para llevar a cabo la reubicación de las líneas de electrificación en los predios &quot;El Cerro de los Jarros - Puerto del Tigre&quot;, en dicho lugar."/>
    <s v="ING. FRANCISCO"/>
    <d v="2025-04-14T00:00:00"/>
    <s v="SI"/>
    <s v="PARA SU ATENCIÓN_x000a_GESTIÓN_x000a_SDE-UCC-05064-25_x000a_Se da respuesta con oficio AEEH/DG/323/2025, de fecha 6/mayo/25, enviado a  Mtra. Mónica Patricia Mixtega Trejo, Secretaria de SEMARNATH, para su atención._x000a_Cerrada"/>
    <x v="1"/>
    <x v="3"/>
    <x v="23"/>
    <s v="El Cerro de los Jarros_x000a_Puerto del Tigre"/>
    <n v="1"/>
    <n v="550"/>
    <s v="DIVISION BAJIO"/>
  </r>
  <r>
    <n v="69"/>
    <s v="266"/>
    <s v="ABRIL"/>
    <d v="2025-04-11T00:00:00"/>
    <s v="SEDECO/CGI/TI/0391/2025_x000a_UPLAPH/DESP/823/2025"/>
    <s v="_x000a_2*1S.1/01-2025 exp. 37"/>
    <s v="Solicita se de atención a la solicitud 003-DMP/2025, de los C.C. Andrés Mendoza Palma y Julio Cesar Sánchez Chávez, Delegado y Subdelegado respectivamente, de la Comunidad de Panales Mpio. de Ixmiquilpan, quienes solicitan la ampliación de la red eléctrica en diferentes Manzanas de dicha comunidad."/>
    <s v="ING. FRANCISCO"/>
    <d v="2025-04-15T00:00:00"/>
    <s v="SI"/>
    <s v="PARA SU ATENCIÓN_x000a_GESTIÓN_x000a_SDE-UCC-05086-25_x000a_Se da respuesta con oficio AEEH/DG/306/2025, de fecha 28/abril/25, enviado a Ing. Octavio Gómez Paulín_x000a_Cerrada"/>
    <x v="0"/>
    <x v="3"/>
    <x v="30"/>
    <s v="Panales"/>
    <n v="2"/>
    <m/>
    <s v="DIVISION BAJIO"/>
  </r>
  <r>
    <n v="70"/>
    <s v="281"/>
    <s v="ABRIL"/>
    <d v="2025-04-22T00:00:00"/>
    <s v="ALM/154/2025"/>
    <s v="Exp.-Diego"/>
    <s v="C. María Marina Ramírez Sánchez, Presidenta Mpal. de Almoloya, evía respuesta del oficio AEEH/DG/227/2025, mediante el cual envía información slicitada_x000a_Seguimiento al Turno-187"/>
    <s v="ARQ. DIEGO"/>
    <d v="2025-04-28T00:00:00"/>
    <s v="SI"/>
    <s v="PARA SU ATENCIÓN_x000a_SDE-UCC-04734-25_x000a_SDE-AEEH-00255-25_x000a_Se le envía oficio AEEH/DG/227/2025, del 31-marzo-25, a la Pta. Mpal. de Almoloya, solicitando información adicional, para dar continuidad a su solicitud."/>
    <x v="0"/>
    <x v="11"/>
    <x v="6"/>
    <m/>
    <n v="1"/>
    <m/>
    <s v="CENTRO ORIENTE"/>
  </r>
  <r>
    <n v="71"/>
    <s v="284"/>
    <s v="ABRIL"/>
    <d v="2025-04-22T00:00:00"/>
    <s v="SEDECO/CGI/TI/0405/2025_x000a_SDG/DGAP/1999/2025"/>
    <s v="_x000a_2*1S.1/01-2025 exp. 53"/>
    <s v="Solicita se de atención a la C. Felipa Hernández Rosales, del Barrio Malila Acuapa, Mpio. de Huejutla, quien  solicita apoyo ante CFE para la ampliación de red eléctrica en dicha comunidad."/>
    <s v="ING. FRANCISCO"/>
    <d v="2025-04-29T00:00:00"/>
    <s v="SI"/>
    <s v="PARA SU ATENCIÓN_x000a_GESTIÓN_x000a_SDE-UCC-04983-25_x000a_Se da respuesta con oficio AEEH/DG/343/2025, de fecha 12/mayo/25, enviado a Ing. Octavio Gómez Paulín _x000a_Y oficio AEEH-DG-786-2025, DEL 27/8/25, enviado a Ing. Hugo Alejandro Abundis Glez., Superintendente CFE zona Huejutla"/>
    <x v="1"/>
    <x v="3"/>
    <x v="27"/>
    <s v="Barrio Malila Acuapa"/>
    <n v="7"/>
    <n v="36"/>
    <s v="GOLFO CENTRO"/>
  </r>
  <r>
    <n v="72"/>
    <s v="285"/>
    <s v="ABRIL"/>
    <d v="2025-04-22T00:00:00"/>
    <s v="SEDECO/CGI/TI/0415/2025_x000a_SDG/DGAP/2116/2025"/>
    <s v="_x000a_2*1S.1/01-2025 exp. 40"/>
    <s v="Solicita se de atención al C. Cipriano Rubio Pérez, del municipio de Chapulhuacán, quien solicita apoyo para llevar a cabo el mantenimiento del transformador de la comunidad &quot;Carrizal de Tenango&quot;, de dicho lugar."/>
    <s v="ING. FRANCISCO"/>
    <d v="2025-04-29T00:00:00"/>
    <s v="SI"/>
    <s v="PARA SU ATENCIÓN_x000a_GESTIÓN_x000a_SDE-UCC-05038-25_x000a_Se da respuesta con oficio AEEH/DG/376/2025, de fecha 15/mayo/25, enviado a Ing. Octavio Gómez Paulín_x000a_Cerrada"/>
    <x v="1"/>
    <x v="8"/>
    <x v="23"/>
    <s v="Carrizal de Tenandgo"/>
    <n v="10"/>
    <n v="27"/>
    <s v="DIVISION BAJIO"/>
  </r>
  <r>
    <n v="73"/>
    <s v="286"/>
    <s v="ABRIL"/>
    <d v="2025-04-22T00:00:00"/>
    <s v="SEDECO/CGI/TI/0409/2025_x000a_SDG/DGAP/2072/2025"/>
    <s v="_x000a_2*1S.1/01-2025 exp. 52"/>
    <s v="Solicita se de atención a la C. Edith Romano Martínez, de la Localidad de la Mesa, Municipio de Chapulhuacán, quien solicita apoyo ante CFE para la instalación de un transformador de luz, en el barrio de los Otates de dicho lugar ."/>
    <s v="ING. FRANCISCO"/>
    <d v="2025-04-29T00:00:00"/>
    <s v="SI"/>
    <s v="PARA SU ATENCIÓN_x000a_GESTIÓN_x000a_SDE-UCC-05051-25_x000a_Se da respuesta con oficio AEEH/DG/344/2025, de fecha 12/mayo/25, enviado a Ing. Octavio Gómez Paulín_x000a_Cerrada"/>
    <x v="1"/>
    <x v="8"/>
    <x v="23"/>
    <s v="La Mesa"/>
    <n v="1"/>
    <m/>
    <s v="DIVISION BAJIO"/>
  </r>
  <r>
    <n v="74"/>
    <s v="287"/>
    <s v="ABRIL"/>
    <d v="2025-04-22T00:00:00"/>
    <s v="SEDECO/CGI/TI/0410/2025_x000a_SDG/DGAP/2080/2025"/>
    <s v="_x000a_2*1S.1/01-2025 exp. 46"/>
    <s v="Solicita se de atención a la C. María Guadalupe Barrera Martínez, del Municipio de Chapulhuacán, quien solicita apoyo ante CFE para la reubicación de un poste de luz que se encuentra en su predio, ubicado en la Localidad de San Rafael, de dicho lugar."/>
    <s v="ING. FRANCISCO"/>
    <d v="2025-04-29T00:00:00"/>
    <s v="SI"/>
    <s v="PARA SU ATENCIÓN_x000a_GESTIÓN_x000a_SDE-UCC-05035-25_x000a_Se da respuesta con oficio AEEH/DG/345/2025, de fecha 12/mayo/25, enviado a Ing. Octavio Gómez Paulín_x000a_Cerrada"/>
    <x v="1"/>
    <x v="10"/>
    <x v="23"/>
    <s v="San Rafael"/>
    <n v="1"/>
    <n v="8"/>
    <s v="DIVISION BAJIO"/>
  </r>
  <r>
    <n v="75"/>
    <s v="288"/>
    <s v="ABRIL"/>
    <d v="2025-04-22T00:00:00"/>
    <s v="SEDECO/CGI/TI/0413/2025_x000a_SDG/DGAP/2063/2025"/>
    <s v="asesorias 2025_x000a_exp. 47"/>
    <s v="Solicita se de atención a la C. Anabel Lozano Castañeda, del Municipio de Chapulhuacán, quien solicita apoyo con focos y fotoceldas para la rehabilitación del alumbrado público en el Barrio San Francisco, de dicho lugar."/>
    <s v="ING. FRANCISCO"/>
    <d v="2025-04-29T00:00:00"/>
    <s v="SI"/>
    <s v="PARA SU ATENCIÓN_x000a_GESTIÓN_x000a_SDE-UCC-05028-25_x000a_Se da respuesta con oficio AEEH/DG/358/2025, de fecha 12/mayo/25, enviado a Ing. Octavio Gómez Paulín_x000a_Cerrada"/>
    <x v="1"/>
    <x v="5"/>
    <x v="23"/>
    <m/>
    <n v="1"/>
    <n v="34"/>
    <s v="DIVISION BAJIO"/>
  </r>
  <r>
    <n v="76"/>
    <s v="289"/>
    <s v="ABRIL"/>
    <d v="2025-04-22T00:00:00"/>
    <s v="SEDECO/CGI/TI/0414/2025_x000a_SDG/DGAP/2146/2025"/>
    <s v="_x000a_2*1S.1/01-2025 exp. 50"/>
    <s v="Solicita se de atención al  C. Alejandro Salguero Lobatón, del Municipio de Chapulhuacán, quien solicita apoyo con la electrificación en la Comunidad de la Guayaba, de dicho lugar."/>
    <s v="ING. FRANCISCO"/>
    <d v="2025-04-29T00:00:00"/>
    <s v="SI"/>
    <s v="PARA SU ATENCIÓN_x000a_GESTIÓN_x000a_SDE-UCC-05045-25_x000a_Se da respuesta con oficio AEEH/DG/346/2025, de fecha 12/mayo/25, enviado a Ing. Octavio Gómez Paulín_x000a_Cerrada"/>
    <x v="1"/>
    <x v="3"/>
    <x v="23"/>
    <s v="La Guayaba"/>
    <n v="1"/>
    <m/>
    <s v="DIVISION BAJIO"/>
  </r>
  <r>
    <n v="77"/>
    <s v="291"/>
    <s v="ABRIL"/>
    <d v="2025-04-22T00:00:00"/>
    <s v="SEDECO/CGI/TI/0418/2025_x000a_SDG/DGAP/2169/2025"/>
    <s v="_x000a_2*1S.1/01-2025 exp. 55"/>
    <s v="Solicita se de atención al  C. Simeón Oliva Rubio, del Municipio de Chapulhuacán, quien solicita apoyo con la reubicación de una línea de alta tensión ubicada en terrenos particulares y la ampliación de red eléctrica en el Barrio de la Estación de dicho lugar."/>
    <s v="ING. FRANCISCO"/>
    <d v="2025-04-29T00:00:00"/>
    <s v="SI"/>
    <s v="PARA SU ATENCIÓN_x000a_GESTIÓN_x000a_SDE-UCC-05039-25_x000a_Se da respuesta con oficio AEEH/DG/377/2025, de fecha 15/mayo/25, enviado a Ing. Octavio Gómez Paulín_x000a_Cerrada"/>
    <x v="1"/>
    <x v="3"/>
    <x v="23"/>
    <s v="Barrio de la Estación"/>
    <n v="1"/>
    <n v="124"/>
    <s v="DIVISION BAJIO"/>
  </r>
  <r>
    <n v="78"/>
    <s v="292"/>
    <s v="ABRIL"/>
    <d v="2025-04-22T00:00:00"/>
    <s v="SEDECO/CGI/TI/0419/2025_x000a_SDG/DGAP/2193/2025"/>
    <s v="_x000a_2*1S.1/01- 2025 exp. 45"/>
    <s v="Solicita se de atención a los  C. Carlos Gutiérrez Flores, J. Merced Gutiérrez Flores, Jesús Eliasim Gutiérrez Cruz, Miguel Ángel Cortés Peña, Abigail Gutiérrez Cruz y Fermina Bautista Hernández, del Municipio de Ixmiquilpan, quienes solicitan apoyo con la reubicación de la línea eléctrica de alta tensión, ubicada en terrenos particulares sobre la calle Cuauhtémoc Manzana Cerrito San Nicolas, de dicho lugar."/>
    <s v="ING. FRANCISCO"/>
    <d v="2025-04-29T00:00:00"/>
    <s v="SI"/>
    <s v="PARA SU ATENCIÓN_x000a_GESTIÓN_x000a_SDE-UCC-05067-25_x000a_Se da respuesta con oficio AEEH/DG/355/2025, de fecha 12/mayo/25, enviado a Ing. Octavio Gómez Paulín"/>
    <x v="1"/>
    <x v="10"/>
    <x v="30"/>
    <s v="San Nicolas"/>
    <n v="6"/>
    <n v="16"/>
    <s v="DIVISION BAJIO"/>
  </r>
  <r>
    <n v="79"/>
    <s v="293"/>
    <s v="ABRIL"/>
    <d v="2025-04-22T00:00:00"/>
    <s v="SEDECO/CGI/TI/0420/2025_x000a_SDG/DGAP/2197/2025"/>
    <s v="_x000a_2*1S.1/01-2025 exp. 38"/>
    <s v="Solicita se de atención a la C. María Lorena Ivone Huesca Vargas, solicita apoyo ante CFE para la condonación de un adeudo de  energía eléctrica en su domicilio ubicado en Av. Tulipanes 306, Fraccionamiento Tulipanes, Mpio. de Mineral de la Reforma."/>
    <s v="ING. FRANCISCO"/>
    <d v="2025-04-29T00:00:00"/>
    <s v="SI"/>
    <s v="PARA SU ATENCIÓN_x000a_GESTIÓN_x000a_SDE-UCC-05052-25_x000a_Se da respuesta con oficio AEEH/DG/307/2025, de fecha 28/abril/25, enviado a Lic. Xaxay Turrubiates Vázquez, Superintendente de CFE SSB Zona Pachuca, para dar seguimiento a dicha solicitud"/>
    <x v="1"/>
    <x v="1"/>
    <x v="14"/>
    <s v="Av. Tulipanes"/>
    <n v="1"/>
    <m/>
    <s v="CENTRO ORIENTE"/>
  </r>
  <r>
    <n v="80"/>
    <s v="294"/>
    <s v="ABRIL"/>
    <d v="2025-04-22T00:00:00"/>
    <s v="SEDECO/CGI/TI/0422/2025_x000a_SDG/DGAP/2238/2025"/>
    <s v="_x000a_2*1S.1/01-2025 exp. 41"/>
    <s v="Solicita se de atención al  C. Fermín Cisneros Cisneros, del Municipio de Calnali, quien solicita apoyo para la terminación de la instalación de la red eléctrica en la comunidad de Pezmatlán, en dicho lugar._x000a_Seguimiento al turno 621"/>
    <s v="ING. FRANCISCO"/>
    <d v="2025-04-29T00:00:00"/>
    <s v="SI"/>
    <s v="PARA SU ATENCIÓN_x000a_GESTIÓN_x000a_SDE-UCC-05050-25_x000a_Se da respuesta con oficio AEEH/DG/347/2025, de fecha 12/mayo/25, enviado a Ing. Octavio Gómez Paulín_x000a_Cerrada"/>
    <x v="1"/>
    <x v="3"/>
    <x v="11"/>
    <s v="Pezmatlan"/>
    <n v="1"/>
    <n v="60"/>
    <s v="GOLFO CENTRO"/>
  </r>
  <r>
    <n v="81"/>
    <s v="295"/>
    <s v="ABRIL"/>
    <d v="2025-04-22T00:00:00"/>
    <s v="SEDECO/CGI/TI/0423/2025_x000a_SDG/DGAP/2333/2025"/>
    <s v="_x000a_2*1S.1/01-2025 exp. 42"/>
    <s v="Solicita se de atención al  C. Valentín Trejo Zúñiga, del Municipio de Alfajayucan, quien solicita apoyo para adquirir un sistema solar fotovoltaico para bombeo de agua potable en la localidad de &quot;Madho Cerro Prieto&quot;, de dicho lugar."/>
    <s v="ING. FRANCISCO"/>
    <d v="2025-04-29T00:00:00"/>
    <s v="SI"/>
    <s v="PARA SU ATENCIÓN_x000a_GESTIÓN_x000a_SDE-UCC-05112-25_x000a_Se da respuesta con oficio AEEH/DG/357/2025, de fecha 12/mayo/25, enviado a Ing. Octavio Gómez Paulín_x000a_Cerrada"/>
    <x v="1"/>
    <x v="12"/>
    <x v="31"/>
    <s v="Madho Cerro Prieto"/>
    <n v="1"/>
    <n v="50"/>
    <s v="DIVISION BAJIO"/>
  </r>
  <r>
    <n v="82"/>
    <s v="296"/>
    <s v="ABRIL"/>
    <d v="2025-04-22T00:00:00"/>
    <s v="SEDECO/CGI/TI/0424/2025_x000a_SDG/DGAP/2342/2025"/>
    <s v="_x000a_2*1S.1/01-2025 exp. 51"/>
    <s v="Solicita se de atención al  C. Samuel Cruz Acosta Olguín, del Municipio de Alfajayucan, quien solicita mediación con CFE  para la ampliación de red eléctrica en las calles principales de el Zapote Fontezuelas, de dicho lugar."/>
    <s v="ING. FRANCISCO"/>
    <d v="2025-04-29T00:00:00"/>
    <s v="SI"/>
    <s v="PARA SU ATENCIÓN_x000a_GESTIÓN_x000a_SDE-UCC-05080-25_x000a_Se da respuesta con oficio AEEH/DG/348/2025, de fecha 12/mayo/25, enviado a Ing. Octavio Gómez Paulín_x000a_cerrada"/>
    <x v="1"/>
    <x v="3"/>
    <x v="31"/>
    <s v="Zapote Fontezuelas"/>
    <n v="1"/>
    <m/>
    <s v="DIVISION BAJIO"/>
  </r>
  <r>
    <n v="83"/>
    <s v="297"/>
    <s v="ABRIL"/>
    <d v="2025-04-22T00:00:00"/>
    <s v="SEDECO/CGI/TI/0425/2025_x000a_SDG/DGAP/2347/2025"/>
    <s v="_x000a_2*1S.1/01-2025 exp. 44"/>
    <s v="Solicita se de atención al  C. Rafael Cesar Maguy Velázquez, del Municipio de Alfajayucan, quien solicita apoyo de paneles solares para la localidad de Zozea, de dicho lugar."/>
    <s v="ING. FRANCISCO"/>
    <d v="2025-04-29T00:00:00"/>
    <s v="SI"/>
    <s v="PARA SU ATENCIÓN_x000a_GESTIÓN_x000a_SDE-UCC-05079-25_x000a_Se da respuesta con oficio AEEH/DG/356/2025, de fecha 12/mayo/25, enviado a Ing. Octavio Gómez Paulín_x000a_Cerrada"/>
    <x v="1"/>
    <x v="12"/>
    <x v="31"/>
    <s v="Zozea"/>
    <n v="1"/>
    <n v="2320"/>
    <s v="DIVISION BAJIO"/>
  </r>
  <r>
    <n v="84"/>
    <s v="298"/>
    <s v="ABRIL"/>
    <d v="2025-04-22T00:00:00"/>
    <s v="SEDECO/CGI/TI/0427/2025_x000a_SDG/DGAP/2387/2025"/>
    <s v="_x000a_2*1S.1/01-2025 exp. 49"/>
    <s v="Solicita se de atención al  C. Marco Antonio Martínez Agustín y Juan Felipe Martínez Quijada, Delegados de la Estancia, Municipio de Chilcuautla, quien solicita apoyo de paneles solares para el suministro del funcionamiento de la bomba del sistema de agua potable comunitario de dicho lugar."/>
    <s v="ING. FRANCISCO"/>
    <d v="2025-04-29T00:00:00"/>
    <s v="SI"/>
    <s v="PARA SU ATENCIÓN_x000a_GESTIÓN_x000a_SDE-UCC-05107-25_x000a_Se da respuesta con oficio AEEH/DG/349/2025, de fecha 12/mayo/25, enviado a Ing. Octavio Gómez Paulín_x000a_Cerrada"/>
    <x v="1"/>
    <x v="12"/>
    <x v="16"/>
    <s v="La Estancia"/>
    <n v="2"/>
    <n v="160"/>
    <s v="CENTRO ORIENTE"/>
  </r>
  <r>
    <n v="85"/>
    <s v="299"/>
    <s v="ABRIL"/>
    <d v="2025-04-22T00:00:00"/>
    <s v="SEDECO/CGI/TI/0428/2025_x000a_SDG/DGAP/2389/2025"/>
    <s v="_x000a_2*1S.1/01-2025 exp. 48"/>
    <s v="Solicita se de atención al  C. Marco Antonio Martínez Agustín y Juan Felipe Martínez Quijada, Delegados de la Estancia, Municipio de Chilcuautla, quien solicita apoyo con la electrificación de zona de líneas viejas y dar mantenimiento al sistema de red eléctrica, de dicho lugar."/>
    <s v="ING. FRANCISCO"/>
    <d v="2025-04-29T00:00:00"/>
    <s v="SI"/>
    <s v="PARA SU ATENCIÓN_x000a_GESTIÓN_x000a_SDE-UCC-05113-25_x000a_Se da respuesta con oficio AEEH/DG/350/2025, de fecha 12/mayo/25, enviado a Ing. Octavio Gómez Paulín_x000a_Cerrada"/>
    <x v="1"/>
    <x v="3"/>
    <x v="16"/>
    <s v="La Estancia"/>
    <n v="2"/>
    <n v="160"/>
    <s v="CENTRO ORIENTE"/>
  </r>
  <r>
    <n v="86"/>
    <s v="300"/>
    <s v="ABRIL"/>
    <d v="2025-04-22T00:00:00"/>
    <s v="SEDECO/CGI/TI/0432/2025_x000a_SDG/DGAP/2441/2025"/>
    <s v="asesorias 2025_x000a_exp. 54"/>
    <s v="Solicita se de atención a la C. Juana Torres Vázquez, del Municipio Mineral de la Reforma, quien  solicita apoyo con la red eléctrica para varias calles de la Comunidad La Presa Dos Carlos de dich lugar."/>
    <s v="ING. FRANCISCO"/>
    <d v="2025-04-29T00:00:00"/>
    <s v="SI"/>
    <s v="PARA SU ATENCIÓN_x000a_GESTIÓN_x000a_SDE-UCC-05105-25_x000a_Se da respuesta con oficio AEEH/DG/353/2025, de fecha 12/mayo/25, enviado a Ing. Octavio Gómez Paulín_x000a_Cerrada"/>
    <x v="1"/>
    <x v="5"/>
    <x v="14"/>
    <m/>
    <n v="1"/>
    <n v="45"/>
    <s v="CENTRO ORIENTE"/>
  </r>
  <r>
    <n v="87"/>
    <s v="301"/>
    <s v="ABRIL"/>
    <d v="2025-04-23T00:00:00"/>
    <s v="SEDECO/CGI/TI/0440/2025_x000a_SDG/DGAP/2547/2025"/>
    <s v="_x000a_2*1S.1/01-2025 exp.43"/>
    <s v="Solicita se de atención a la C. Rosa María Rivera Castillo, de La Estancia, Localidad Xidejhe, del municipio de Actopan, quien  solicita apoyo con la electrificación para dicho lugar."/>
    <s v="ING. FRANCISCO"/>
    <d v="2025-04-29T00:00:00"/>
    <s v="SI"/>
    <s v="PARA SU ATENCIÓN_x000a_GESTIÓN_x000a_SDE-UCC-05148-25_x000a_Se da respuesta con oficio AEEH/DG/354/2025, de fecha 12/mayo/25, enviado a Ing. Octavio Gómez Paulín_x000a_Cerrada"/>
    <x v="1"/>
    <x v="3"/>
    <x v="8"/>
    <s v="Xidejhe"/>
    <n v="10"/>
    <n v="80"/>
    <s v="CENTRO ORIENTE"/>
  </r>
  <r>
    <n v="88"/>
    <s v="335"/>
    <s v="ABRIL"/>
    <d v="2025-04-23T00:00:00"/>
    <s v="SEDECO/CGI/TI/0441/2025_x000a_SDG/DGAP/2610/2025"/>
    <s v="_x000a_2*1S.1/01-2025 exp.64"/>
    <s v="Solicita se de atención al  C. Candido Hernández Melo, del Municipio de Tenango de Doria, quien solicita ampliación de red eléctrica en la localidad de &quot;San Pablo El Grande&quot; de dicho lugar."/>
    <s v="ING. FRANCISCO"/>
    <d v="2025-04-30T00:00:00"/>
    <s v="SI"/>
    <s v="PARA SU ATENCIÓN_x000a_GESTIÓN_x000a_SDE-UCC-05159-25_x000a_Se da respuesta con oficio AEEH/DG/417/2025, de fecha 29/mayo/25, enviado a Ing. Octavio Gómez Paulín"/>
    <x v="1"/>
    <x v="3"/>
    <x v="32"/>
    <s v="San Pablo el Grande"/>
    <n v="1"/>
    <m/>
    <s v="GOLFO CENTRO"/>
  </r>
  <r>
    <n v="89"/>
    <s v="310"/>
    <s v="ABRIL"/>
    <d v="2025-04-24T00:00:00"/>
    <s v="SEDECO/CGI/TI/0443/2025_x000a_SDG/DGAP/2637/2025"/>
    <s v="asesorias 2025_x000a_exp. 56"/>
    <s v="Solicita se de atención al  C. Juan Caro Molina, del Municipio de Tenango de Doria, quien solicita apoyo con la ampliación de la red de alumbrado público en la parte baja de la colonia San José y de la entrada al Zetoy, de dicho lugar."/>
    <s v="ING. FRANCISCO"/>
    <d v="2025-05-08T00:00:00"/>
    <s v="SI"/>
    <s v="PARA SU ATENCIÓN_x000a_GESTIÓN_x000a_SDE-UCC-05161-25_x000a_Se da respuesta con oficio AEEH/DG/418/2025, de fecha 29/mayo/25, enviado a Ing. Octavio Gómez Paulín"/>
    <x v="1"/>
    <x v="5"/>
    <x v="32"/>
    <m/>
    <n v="1"/>
    <m/>
    <s v="GOLFO CENTRO"/>
  </r>
  <r>
    <n v="90"/>
    <s v="311"/>
    <s v="ABRIL"/>
    <d v="2025-04-24T00:00:00"/>
    <s v="SEDECO/CGI/TI/0444/2025_x000a_SDG/DGAP/2660/2025"/>
    <s v="_x000a_2*1S.1/01-2025 exp.57"/>
    <s v="Solicita se de atención al  C. Benjamín Caro Ramírez, del Municipio de Tenango de Doria, quien solicita intervención ante CFE para la reparación de un poste de Luz en la Comunidad de San Francisco de dicho lugar."/>
    <s v="ING. FRANCISCO"/>
    <d v="2025-05-08T00:00:00"/>
    <s v="SI"/>
    <s v="PARA SU ATENCIÓN_x000a_GESTIÓN_x000a_SDE-UCC-05166-25_x000a_Se da respuesta con oficio AEEH/DG/419/2025, de fecha 29/mayo/25, enviado a Ing. Octavio Gómez Paulín_x000a_Cerrada"/>
    <x v="1"/>
    <x v="10"/>
    <x v="32"/>
    <s v="San Francisco"/>
    <n v="1"/>
    <m/>
    <s v="GOLFO CENTRO"/>
  </r>
  <r>
    <n v="91"/>
    <s v="321"/>
    <s v="ABRIL"/>
    <d v="2025-04-30T00:00:00"/>
    <s v="SEDECO/CGI/TI/0457/2025_x000a_SDG/DGAP/2774/2025"/>
    <s v="asesorias 2025_x000a_exp.58"/>
    <s v="Solicita se de atención al  C. David Ramírez Valencia, del Municipio de Tlanalapa, quien solicita instalación de alumbrado público en la avenida Tlanalapa-Chiconcuac, de dicho lugar."/>
    <s v="ING. FRANCISCO"/>
    <d v="2025-05-08T00:00:00"/>
    <s v="SI"/>
    <s v="PARA SU ATENCIÓN_x000a_GESTIÓN_x000a_SDE-UCC-05195-25_x000a_Se da respuesta con oficio AEEH/DG/378/2025, de fecha 15/mayo/25, enviado a Ing. Octavio Gómez Paulín_x000a_Cerrada"/>
    <x v="1"/>
    <x v="5"/>
    <x v="33"/>
    <m/>
    <n v="1"/>
    <m/>
    <s v="CENTRO ORIENTE"/>
  </r>
  <r>
    <n v="92"/>
    <s v="322"/>
    <s v="ABRIL"/>
    <d v="2025-04-30T00:00:00"/>
    <s v="SEDECO/CGI/TI/0459/2025_x000a_SDG/DGAP/2780/2025"/>
    <s v="asesorias 2025_x000a_exp.59"/>
    <s v="Solicita se de atención a la C. María Soledad Morales Arellano, del Municipio de Tlanalapa, quien solicita apoyo para la instalación del alumbrado público en la Cmunidad Kilometro 27, de dicho lugar."/>
    <s v="ING. FRANCISCO"/>
    <d v="2025-05-08T00:00:00"/>
    <s v="SI"/>
    <s v="PARA SU ATENCIÓN_x000a_GESTIÓN_x000a_SDE-UCC-05194-25_x000a_Se da respuesta con oficio AEEH/DG/379/2025, de fecha 15/mayo/25, enviado a Ing. Octavio Gómez Paulín"/>
    <x v="1"/>
    <x v="5"/>
    <x v="33"/>
    <m/>
    <n v="1"/>
    <n v="36"/>
    <s v="CENTRO ORIENTE"/>
  </r>
  <r>
    <n v="93"/>
    <s v="323"/>
    <s v="ABRIL"/>
    <d v="2025-04-30T00:00:00"/>
    <s v="SEDECO/CGI/TI/0462/2025_x000a_SDG/DGAP/2896/2025"/>
    <s v="Diego"/>
    <s v="Solicita se de atención al  C. Missael Hernández Obregón, del Municipio de Atitalaquia, quien solicita apoyo con la instalación de internet en la Colonia Dendho, de dicho lugar."/>
    <s v="ARQ. DIEGO"/>
    <d v="2025-05-08T00:00:00"/>
    <s v="SI"/>
    <s v="PARA SU ATENCIÓN_x000a_GESTIÓN_x000a_SDE-UCC-05216-25_x000a_Se le solicito al peticionario a través de correo electrónico, de fecha 20-mayo-25, complemente su información para dar seguimiento a su solicitud_x000a_*Se da respuesta con oficio AEEH/DG/703/2025, del 12-agosto-2025"/>
    <x v="1"/>
    <x v="11"/>
    <x v="34"/>
    <s v="Colonia Dendho"/>
    <n v="1"/>
    <m/>
    <s v="CENTRO ORIENTE"/>
  </r>
  <r>
    <n v="94"/>
    <s v="324"/>
    <s v="ABRIL"/>
    <d v="2025-04-30T00:00:00"/>
    <s v="SEDECO/CGI/TI/0463/2025_x000a_SDG/DGAP/2909/2025"/>
    <s v="_x000a_2*1S.1/01-2025 exp.60"/>
    <s v="Solicita se de atención a la C. Adriana Hernández Chávez, del Municipio de Pachuca, Hgo., quien solicita apoyo para la instalación del alumbrado público en la Calle Pirules Col. El Tezontle. Para beneficio de los habitantes del fraccionamiento Zafiro, Valle de Albar, Ampliación El Tezontle y Escuela Normal Sup. Pública del Edo. de Hidalgo."/>
    <s v="ING. FRANCISCO"/>
    <d v="2025-05-08T00:00:00"/>
    <s v="SI"/>
    <s v="PARA SU ATENCIÓN_x000a_GESTIÓN_x000a_SDE-UCC-05218-25_x000a_Se da respuesta con oficio AEEH/DG/381/2025, de fecha 15/mayo/25, enviado a Ing. Octavio Gómez Paulín_x000a_Cerrada"/>
    <x v="1"/>
    <x v="5"/>
    <x v="1"/>
    <m/>
    <n v="1"/>
    <m/>
    <s v="CENTRO ORIENTE"/>
  </r>
  <r>
    <n v="95"/>
    <s v="326"/>
    <s v="ABRIL"/>
    <d v="2025-04-30T00:00:00"/>
    <s v="SEDECO/CGI/TI/0466/2025_x000a_SDG/DGAP/2989/2025"/>
    <s v="_x000a_2*1S.1/01-2025 exp.61"/>
    <s v="Solicita se de atención a la C. Lizeth Ramos R., del municipio de Pachuca, Hgo., quien solicita apoyo para la instalación del alumbrado público en la Avenida Solares, del Fraccionamiento Paseo de los Solares, de dicho lugar."/>
    <s v="ING. FRANCISCO"/>
    <d v="2025-05-08T00:00:00"/>
    <s v="SI"/>
    <s v="PARA SU ATENCIÓN_x000a_GESTIÓN_x000a_SDE-UCC-05239-25_x000a_Se da respuesta con oficio AEEH/DG/420/2025, de fecha 29/mayo/25, enviado a Ing. Octavio Gómez Paulín"/>
    <x v="1"/>
    <x v="5"/>
    <x v="1"/>
    <m/>
    <n v="10"/>
    <n v="112"/>
    <s v="CENTRO ORIENTE"/>
  </r>
  <r>
    <n v="96"/>
    <s v="328"/>
    <s v="MAYO"/>
    <d v="2025-05-02T00:00:00"/>
    <s v="SEDECO/CGI/TI/0461/2025_x000a_SDG/DGAP/2836/2025"/>
    <s v="_x000a_2*1S.1/01-2025 exp.63"/>
    <s v="Solicita se de atención al  C. Carlos Alberto Cerecedo Hernández, del Municipio de Huautla, de la empresa &quot;Cerecedo Innovaciones&quot;, solicita la oportunidad de presentar su su proyecto &quot;Máquina expendedora de internet y maquina distribuidora de energía eléctrica&quot;"/>
    <s v="ARQ. ORLANDO"/>
    <d v="2025-05-08T00:00:00"/>
    <s v="SI"/>
    <s v="PARA SU ATENCIÓN_x000a_GESTIÓN_x000a_SDE-UCC-05197-25_x000a_Se da respuesta con oficio AEEH/DG/380/2025, de fecha 15/mayo/25, enviado a Ing. Octavio Gómez Paulín_x000a_- Se atiende en estas oficinas de la AEEH al peticionario "/>
    <x v="1"/>
    <x v="7"/>
    <x v="4"/>
    <m/>
    <n v="1"/>
    <m/>
    <s v="GOLFO CENTRO"/>
  </r>
  <r>
    <n v="97"/>
    <s v="329"/>
    <s v="MAYO"/>
    <d v="2025-05-02T00:00:00"/>
    <s v="SEDECO/CGI/TI/0475/2025_x000a_SDG/DGAP/3053/2025"/>
    <s v="asesorias 2025_x000a_exp.62"/>
    <s v="Solicita se de atención a la C. Laura Lazcano González, del Municipio de Zempoala, quien solicita apoyo e intervención ante la CFE, para dar solución a una problemática de conexión eléctrica en calles de la Col. Lindavista, de dicho lugar."/>
    <s v="ING. FRANCISCO"/>
    <d v="2025-05-08T00:00:00"/>
    <s v="SI"/>
    <s v="PARA SU ATENCIÓN_x000a_GESTIÓN_x000a_SDE-UCC-05247-25_x000a_Se da respuesta con oficio AEEH/DG/421/2025, de fecha 29/mayo/25, enviado a Ing. Octavio Gómez Paulín"/>
    <x v="1"/>
    <x v="5"/>
    <x v="35"/>
    <m/>
    <n v="1"/>
    <m/>
    <s v="CENTRO ORIENTE"/>
  </r>
  <r>
    <n v="98"/>
    <s v="338"/>
    <s v="MAYO"/>
    <d v="2025-05-08T00:00:00"/>
    <s v="SEMARNATH/DGCC/DS-021-2025"/>
    <s v="_x000a_2*1S.1/01-2025 exp.67"/>
    <s v="La Secretaría del Medio Ambiete y Recursos Naturales, solicita se de atención al C.Gregorio Pérez Coello, quien solicita apoyo para la compra e instalación de paneles solares para pozo profundo en la comunidad de El Espíritu, Mpio. de Ixmiquilpan"/>
    <s v="ING. FRANCISCO"/>
    <d v="2025-05-16T00:00:00"/>
    <s v="SI"/>
    <s v="PARA SU ATENCIÓN_x000a_paneles solares_x000a_Se da respuesta con oficio AEEH/DG/544/2025, de fecha 2/julio/25, enviado a Lic. Analinn Rivera Delgado, Dir. Gral. de Atención al Pueblo, informando el estatus de dicha solicitud._x000a_Cerrada"/>
    <x v="0"/>
    <x v="7"/>
    <x v="30"/>
    <s v="El Espíritu"/>
    <n v="3"/>
    <m/>
    <s v="DIVISION BAJIO"/>
  </r>
  <r>
    <n v="99"/>
    <s v="340"/>
    <s v="MAYO"/>
    <d v="2025-05-08T00:00:00"/>
    <s v="SEDECO/CGI/TI/0491/2025_x000a_SDG/DGAP/3174/2025"/>
    <s v="_x000a_2*1S.1/01-2025 exp.65"/>
    <s v="Solicita se de atención a los C. Santos Hernández Cruz, del Mpio. de Huejutla, solicitan la reubicación de postes  de energía eléctrica para las comunidades de Huitzachahuatl, ampliación Huitzachahuatl y Ozuluama, de dicho lugar."/>
    <s v="ING. FRANCISCO"/>
    <d v="2025-05-16T00:00:00"/>
    <s v="SI"/>
    <s v="PARA SU ATENCIÓN_x000a_GESTIÓN_x000a_SDE-UCC-05286-25_x000a_Se da respuesta con oficio AEEH/DG/422/2025, de fecha 29/mayo/25, enviado a Ing. Octavio Gómez Paulín"/>
    <x v="1"/>
    <x v="10"/>
    <x v="18"/>
    <s v="Huitzachahuatl_x000a_Ozuluama"/>
    <n v="3"/>
    <m/>
    <s v="GOLFO CENTRO"/>
  </r>
  <r>
    <n v="100"/>
    <s v="360"/>
    <s v="MAYO"/>
    <d v="2025-05-14T00:00:00"/>
    <s v="DGESE.212.086.2025"/>
    <s v="2*1S.5/01-2025"/>
    <s v="Dr. Adrian Ruíz Carvajal, Director General de Eficiencia y Sustentabilidad Energética de la Secretaría de Energía, solicita le informe las actividades realizadas en materia de eficiencia energética en esta entidad, del año 2018 a la fecha."/>
    <s v="ARQ. ORLANDO "/>
    <d v="2025-05-16T00:00:00"/>
    <s v="SI"/>
    <s v="Atendido "/>
    <x v="0"/>
    <x v="2"/>
    <x v="24"/>
    <m/>
    <n v="1"/>
    <m/>
    <m/>
  </r>
  <r>
    <n v="101"/>
    <s v="361"/>
    <s v="MAYO"/>
    <d v="2025-05-15T00:00:00"/>
    <s v="SEDECO/CGI/TI/0509/2025_x000a_SDG/DGAP/3221/2025"/>
    <s v="_x000a_2*1S.1/01-2025 exp.70"/>
    <s v="Solicita se de atención a la C. Julia López Arias, del Municipio de Agua Blanca, quien solicita apoyo para la electrificación en la comunidad de Ejido Palizar, de dicho lugar."/>
    <s v="ING. FRANCISCO"/>
    <d v="2025-05-16T00:00:00"/>
    <s v="SI"/>
    <s v="PARA SU ATENCIÓN_x000a_GESTIÓN_x000a_SDE-UCC-05304-25_x000a_Se da respuesta con oficio AEEH/DG/456/2025, de fecha 16/junio/25, enviado a Ing. Octavio Gómez Paulín"/>
    <x v="1"/>
    <x v="3"/>
    <x v="36"/>
    <s v="Ejido Palizar"/>
    <m/>
    <m/>
    <s v="GOLFO CENTRO"/>
  </r>
  <r>
    <n v="102"/>
    <s v="362"/>
    <s v="MAYO"/>
    <d v="2025-05-15T00:00:00"/>
    <s v="SEDECO/CGI/TI/0511/2025_x000a_SDG/DGAP/3266/2025"/>
    <s v="Exp.-Diego"/>
    <s v="Solicita se de atención al  C. Salvador Ramírez Ahumada, del Municipio de Tlanalapa, quien solicita asesoría técnica, legal y financiera para evaluar el desarrollo de un parque fotovoltaico en la localidad de Chinconcuac, de dicho lugar."/>
    <s v="ARQ. DIEGO"/>
    <d v="2025-05-16T00:00:00"/>
    <s v="SI"/>
    <s v="PARA SU ATENCIÓN_x000a_GESTIÓN_x000a_SDE-UCC-05335-25_x000a_Se da respuesta con oficio AEEH/DG/414/2025, de fecha 26/mayo/25, enviado a Ing. Octavio Gómez Paulín"/>
    <x v="1"/>
    <x v="7"/>
    <x v="33"/>
    <s v="Chinconcuac"/>
    <m/>
    <m/>
    <s v="CENTRO ORIENTE"/>
  </r>
  <r>
    <n v="103"/>
    <s v="363"/>
    <s v="MAYO"/>
    <d v="2025-05-15T00:00:00"/>
    <s v="SEDECO/CGI/TI/0512/2025_x000a_SDG/DGAP/3275/2025"/>
    <s v="_x000a_2*1S.1/01-2025 exp.66"/>
    <s v="Solicita se de atención a la C. Melania Hernández Grez, del municipio de Zacualtipan, quien solicita apoyo para la instalación del energía eléctrica en su vivienda, ubicada en Col. Bosques del Paraiso, de dicho lugar."/>
    <s v="ING. FRANCISCO"/>
    <d v="2025-05-16T00:00:00"/>
    <s v="SI"/>
    <s v="PARA SU ATENCIÓN_x000a_GESTIÓN_x000a_SDE-UCC-05331-25_x000a_Se da respuesta con oficio AEEH/DG/423/2025, de fecha 29/mayo/25, enviado a Ing. Octavio Gómez Paulín"/>
    <x v="1"/>
    <x v="3"/>
    <x v="26"/>
    <s v="Col. Bosques del Paraiso"/>
    <m/>
    <m/>
    <s v="GOLFO CENTRO"/>
  </r>
  <r>
    <n v="104"/>
    <s v="364"/>
    <s v="MAYO"/>
    <d v="2025-05-15T00:00:00"/>
    <s v="SEDECO/CGI/TI/0513/2025_x000a_SDG/DGAP/3312/2025"/>
    <s v="Ing. García"/>
    <s v="Solicita se de atención a la C. Carolina Zuñiga García, del municipio de Ixmiquilpan, quien solicita apoyo para la infraestructura y equipamiento para el sistema de agua potable &quot;pozo la reforma&quot;, el cual consiste en un sistema fotovoltaico interconetado a la red eléctrica."/>
    <s v="ING. FRANCISCO"/>
    <d v="2025-05-16T00:00:00"/>
    <s v="SI"/>
    <s v="PARA SU ATENCIÓN_x000a_GESTIÓN_x000a_SDE-UCC-05353-25_x000a_Se da respuesta con oficio AEEH/DG/457/2025, de fecha 16/junio/25, enviado a Ing. Octavio Gómez Paulín"/>
    <x v="1"/>
    <x v="12"/>
    <x v="30"/>
    <m/>
    <m/>
    <m/>
    <s v="DIVISION BAJIO"/>
  </r>
  <r>
    <n v="105"/>
    <s v="365"/>
    <s v="MAYO"/>
    <d v="2025-05-15T00:00:00"/>
    <s v="SEDECO/CGI/TI/0514/2025_x000a_SDG/DGAP/3314/2025"/>
    <s v="_x000a_2*1S.1/01-2025 exp.69"/>
    <s v="Solicita se de atención a la C. Carolina Zuñiga García, del municipio de Ixmiquilpan, quien solicita apoyo con un sistema fotovoltaico, para cubrir la demanda de energía eléctrica en la comunidad de La Reforma, en dicho lugar."/>
    <s v="ING. FRANCISCO"/>
    <d v="2025-05-16T00:00:00"/>
    <s v="SI"/>
    <s v="PARA SU ATENCIÓN_x000a_GESTIÓN_x000a_SDE-UCC-05352-25_x000a_Se da respuesta con oficio AEEH/DG/458/2025, de fecha 16/junio/25, enviado a Ing. Octavio Gómez Paulín"/>
    <x v="1"/>
    <x v="12"/>
    <x v="30"/>
    <s v="La Reforma"/>
    <m/>
    <m/>
    <s v="DIVISION BAJIO"/>
  </r>
  <r>
    <n v="106"/>
    <s v="368"/>
    <s v="MAYO"/>
    <d v="2025-05-16T00:00:00"/>
    <s v="SEDECO/CGI/0523/2025_x000a_"/>
    <s v="2*1S/04-2025_x000a_"/>
    <s v="Solicita un informe de esta área, con los ciudadanos a los cuales se les ha entregado un apoyo en el periodo enero-abril,2025, de las canalizaciones realizadas por la Dir. de Atención al Pueblo "/>
    <s v="ARQ. ORLANDO"/>
    <d v="2025-05-21T00:00:00"/>
    <s v="SI"/>
    <s v="PARA SU ATENCIÓN_x000a_GESTIÓN_x000a_SDE-CGI-00092-25_x000a_Se da respuesta con oficio AEEH/DG/406/2025, de fecha 21/mayo/25, enviado a Ing. Octavio Gómez Paulín"/>
    <x v="0"/>
    <x v="2"/>
    <x v="1"/>
    <m/>
    <n v="1"/>
    <m/>
    <m/>
  </r>
  <r>
    <n v="107"/>
    <s v="369"/>
    <s v="MAYO"/>
    <d v="2025-05-16T00:00:00"/>
    <s v="SEDECO/CGI/0526/2025_x000a_"/>
    <s v="2*1S/04-2025_x000a_"/>
    <s v="Solicita Asigne formalmente el enlace responsable de atender las canalizaciones de atención ciudadana, proporcionando nombre completo, cargo , tel. de oficina y ext."/>
    <s v="MARINA "/>
    <d v="2025-05-21T00:00:00"/>
    <s v="SI"/>
    <s v="PARA SU ATENCIÓN_x000a_GESTIÓN_x000a_SDE-CGI-00093-25_x000a_Se da respuesta con oficio AEEH/DG/408/2025, de fecha 22/mayo/25, enviado a Ing. Octavio Gómez Paulín"/>
    <x v="0"/>
    <x v="2"/>
    <x v="1"/>
    <m/>
    <n v="1"/>
    <m/>
    <m/>
  </r>
  <r>
    <n v="108"/>
    <s v="370"/>
    <s v="MAYO"/>
    <d v="2025-05-16T00:00:00"/>
    <s v="SN"/>
    <s v="2*1S.2/01-2025_x000a_"/>
    <s v="Ramiro Villarreal Almaguer, Gerente de greengo energy, Solicita contratar el servicio de estudios de prefactibilidad en polígonos para proyectos energéticos, en el municipio de Cuautepec: Tecocomulco 1 y Tecocomulco 2"/>
    <s v="ING. FRANCISCO"/>
    <d v="2025-05-21T00:00:00"/>
    <s v="SI"/>
    <s v="Le fueron entregados los Estudios de Prefactibilidad a través de correo electrónico de fecha 27-mayo-25 "/>
    <x v="0"/>
    <x v="7"/>
    <x v="37"/>
    <m/>
    <n v="1"/>
    <m/>
    <s v="CENTRO ORIENTE"/>
  </r>
  <r>
    <n v="109"/>
    <s v="372"/>
    <s v="MAYO"/>
    <d v="2024-05-19T00:00:00"/>
    <s v="S/N"/>
    <s v="Ing. García"/>
    <s v="Leticia Morales Tellez y Heriberto Pineda Monroy, Delegada municipal y comité administrador del agua potable de la comunidad de La Lagunita, Mpio. de Ixmiquilpan, solicitan una visita a su localidad, con la finalidad de conocer y testificar de primera mano sus requerimientos en materia de energía."/>
    <s v="ING. FRANCISCO"/>
    <d v="2025-05-21T00:00:00"/>
    <s v="SI"/>
    <s v="Atendido "/>
    <x v="0"/>
    <x v="4"/>
    <x v="30"/>
    <s v="La Lagunita"/>
    <n v="1"/>
    <m/>
    <s v="DIVISION BAJIO"/>
  </r>
  <r>
    <n v="110"/>
    <s v="377"/>
    <s v="MAYO"/>
    <d v="2025-05-20T00:00:00"/>
    <s v="SEDECO/CGI/TI/0529/2025_x000a_SDG/DGAP/3401/2025"/>
    <s v="_x000a_2*1S.1/01-2025 exp.73"/>
    <s v="Solicita se de atención a la C. Florina San Juan Pérez, del Municipio de Tenango de Doria, quien solicita apoyo para la condonación del pago de su recibo de energía eléctrica con CFE, por $256,000.00."/>
    <s v="ING. FRANCISCO"/>
    <d v="2025-05-23T00:00:00"/>
    <s v="SI"/>
    <s v="PARA SU ATENCIÓN_x000a_GESTIÓN_x000a_SDE-UCC-05375-25_x000a_Se da respuesta con oficio AEEH/DG/459/2025, de fecha 16/junio/25, enviado a Ing. Octavio Gómez Paulín"/>
    <x v="1"/>
    <x v="1"/>
    <x v="32"/>
    <m/>
    <n v="1"/>
    <m/>
    <s v="GOLFO CENTRO"/>
  </r>
  <r>
    <n v="111"/>
    <s v="387"/>
    <s v="MAYO"/>
    <d v="2025-05-23T00:00:00"/>
    <s v="SEDECO/CGI/TI/0547/2025_x000a_SDG/DGAP/3544/2025"/>
    <s v="_x000a_2*1S.1/01-2025 exp.72"/>
    <s v="Solicita se de atención a la C. María del Carmen Campos Sánchez, del Municipio del Arenal, quien solicita mediación ante CFE para para llevar a cabo la ampliación de la red eléctrica en el &quot;Barrio del Sabino&quot;, de dicho lugar."/>
    <s v="ING. FRANCISCO"/>
    <d v="2025-05-23T00:00:00"/>
    <s v="SI"/>
    <s v="PARA SU ATENCIÓN_x000a_GESTIÓN_x000a_SDE-UCC-05451-25_x000a_Se da respuesta con oficio AEEH/DG/460/2025, de fecha 16/junio/25, enviado a Ing. Octavio Gómez Paulín"/>
    <x v="1"/>
    <x v="3"/>
    <x v="38"/>
    <s v="Barrio del Sabino"/>
    <n v="1"/>
    <m/>
    <s v="CENTRO ORIENTE"/>
  </r>
  <r>
    <n v="112"/>
    <s v="388"/>
    <s v="MAYO"/>
    <d v="2025-05-23T00:00:00"/>
    <s v="SEDECO/CGI/TI/0548/2025_x000a_SDG/DGAP/3539/2025"/>
    <s v="_x000a_2*1S.1/01-2025 exp.71"/>
    <s v="Solicita se de atención al  C. Luis Hernández Esparza,del Municipio del Arenal, solicita mediación con CFE para llevar a cabo la ampliación de la red eléctrica en la calle &quot;Cerrada Mingos&quot;, de dicho lugar."/>
    <s v="ING. FRANCISCO"/>
    <d v="2025-05-23T00:00:00"/>
    <s v="SI"/>
    <s v="PARA SU ATENCIÓN_x000a_GESTIÓN_x000a_SDE-UCC-05446-25_x000a_Se da respuesta con oficio AEEH/DG/461/2025, de fecha 16/junio/25, enviado a Ing. Octavio Gómez Paulín"/>
    <x v="1"/>
    <x v="3"/>
    <x v="38"/>
    <s v="Cerrada Mingos"/>
    <n v="1"/>
    <m/>
    <s v="CENTRO ORIENTE"/>
  </r>
  <r>
    <n v="113"/>
    <s v="389"/>
    <s v="MAYO"/>
    <d v="2025-05-23T00:00:00"/>
    <s v="SEDECO/CGI/TI/0552/2025_x000a_SDG/DGAP/3515/2025"/>
    <s v="_x000a_2*1S.1/01-2025 exp.74"/>
    <s v="Solicita se de atención al  C. Silverio Esparza Mejía, del Municipio del Arenal, solicita mediación con CFE para llevar a cabo la ampliación de la red eléctrica en el camino &quot;San Jerónimo&quot;, de dicho lugar."/>
    <s v="ING. FRANCISCO"/>
    <d v="2025-05-23T00:00:00"/>
    <s v="SI"/>
    <s v="PARA SU ATENCIÓN_x000a_GESTIÓN_x000a_SDE-UCC-05450-25_x000a_Se da respuesta con oficio AEEH/DG/462/2025, de fecha 16/junio/25, enviado a Ing. Octavio Gómez Paulín"/>
    <x v="1"/>
    <x v="3"/>
    <x v="38"/>
    <s v="San Jerónimo"/>
    <n v="1"/>
    <m/>
    <s v="CENTRO ORIENTE"/>
  </r>
  <r>
    <n v="114"/>
    <s v="390"/>
    <s v="MAYO"/>
    <d v="2025-05-23T00:00:00"/>
    <s v="SEMARNATH/DESP/SSyCC-0349/2025"/>
    <s v="_x000a_2*1S.4/02-2025 "/>
    <s v="La SEMARNATH, hace invitación a la Segunda Sesión Ordinaria del año 2025, de la Comisión Estatal Intersectorial de Cambio Climático, el 04-junio-2025, en instalaciones de SEMARNATH"/>
    <s v="ARQ. ORLANDO"/>
    <d v="2025-05-30T00:00:00"/>
    <s v="SI"/>
    <s v="Asiste a dicha SesióN Ordinaria el Arq.Orlando Martínez Juárez, en represesntación de la Arq. Ivonne Ramírez Núñez."/>
    <x v="0"/>
    <x v="0"/>
    <x v="1"/>
    <m/>
    <n v="1"/>
    <m/>
    <m/>
  </r>
  <r>
    <n v="115"/>
    <s v="397"/>
    <s v="MAYO"/>
    <d v="2025-05-29T00:00:00"/>
    <s v="SEDECO/CGI/TI/0575/2025_x000a_SEMOT/DESP/0216/2025"/>
    <s v="_x000a_2*1S/02-2025 "/>
    <s v="Envía ofico de la SEMOT, mediante el cual envía la información referente a los medios de transporte público que llegan a diversos puntos de Polo AIFA, Hidalgo. "/>
    <s v="ARQ. ORLANDO"/>
    <d v="2025-06-06T00:00:00"/>
    <s v="SI"/>
    <s v="Para conocimiento"/>
    <x v="0"/>
    <x v="2"/>
    <x v="1"/>
    <m/>
    <n v="1"/>
    <m/>
    <m/>
  </r>
  <r>
    <n v="116"/>
    <s v="398"/>
    <s v="MAYO"/>
    <d v="2025-05-29T00:00:00"/>
    <s v="SEDECO/CGI/TI/0583/2025_x000a_SEMARNATH/DGNA/DESP/ 053/2025"/>
    <s v="_x000a_2*1S/02-2025 "/>
    <s v="Envía oficio de la Mtra. Mónica Patricia Mixtega Trejo, Sria. de SEMARNATH, mediante el cual informa que el documento certificado dónde se determina que el terreno que conformará al Polo AIFA Hidalgo, ubicado en el mpio. de Zapotlán de Juárez, se encuentra fuera de áreas naturales protegidas, conforme a lo que establece la normatividad ambiental aplicable."/>
    <s v="ARQ. ORLANDO"/>
    <d v="2025-06-06T00:00:00"/>
    <s v="SI"/>
    <s v="Para conocimiento"/>
    <x v="0"/>
    <x v="2"/>
    <x v="1"/>
    <m/>
    <n v="1"/>
    <m/>
    <m/>
  </r>
  <r>
    <n v="117"/>
    <s v="401"/>
    <s v="MAYO"/>
    <d v="2025-05-30T00:00:00"/>
    <s v="SEDECO/CGI/TI/0568/2025_x000a_SDG/DGAP/3717/2025"/>
    <s v="_x000a_2*1S.1/01-2025 exp.75"/>
    <s v="Solicita se le de atención a la C.Guadalupe Ángeles Mata, del Mpio. del Arenal, quien solicita mediación con CFE para ampliación de red eléctrica en la localidad de &quot;El Jiadi&quot;, en dicho lugar. "/>
    <s v="ING. FRANCISCO"/>
    <d v="2025-06-06T00:00:00"/>
    <s v="SI"/>
    <s v="PARA SU ATENCIÓN_x000a_GESTIÓN_x000a_SDE-UCC-05444-25_x000a_Se da respuesta con oficio AEEH/DG/501/2025, de fecha 23/junio/25, enviado a Ing. Octavio Gómez Paulín"/>
    <x v="1"/>
    <x v="3"/>
    <x v="38"/>
    <s v="El Jiadi"/>
    <n v="1"/>
    <m/>
    <s v="CENTRO ORIENTE"/>
  </r>
  <r>
    <n v="118"/>
    <s v="402"/>
    <s v="MAYO"/>
    <d v="2025-05-30T00:00:00"/>
    <s v="SEDECO/CGI/TI/0569/2025_x000a_SDG/DGAP/3712/2025"/>
    <s v="_x000a_2*1S.1/01-2025 exp.76"/>
    <s v="Solicita se le de atención a la C.Tomaza Aspeitia Hernández, del Mpio. del Arenal, quien solicita apoyo para regulizar la red eléctrica, por variaciones de bajo voltaje, en la localidad de &quot;Ojo de Agua&quot;, en dicho lugar. "/>
    <s v="ING. FRANCISCO"/>
    <d v="2025-06-06T00:00:00"/>
    <s v="SI"/>
    <s v="PARA SU ATENCIÓN_x000a_GESTIÓN_x000a_SDE-UCC-05453-25_x000a_Se da respuesta con oficio AEEH/DG/502/2025, de fecha 23/junio/25, enviado a Ing. Octavio Gómez Paulín"/>
    <x v="1"/>
    <x v="6"/>
    <x v="38"/>
    <s v="Ojo de Agua"/>
    <n v="1"/>
    <m/>
    <s v="CENTRO ORIENTE"/>
  </r>
  <r>
    <n v="119"/>
    <s v="403"/>
    <s v="MAYO"/>
    <d v="2025-05-30T00:00:00"/>
    <s v="SEDECO/CGI/TI/0570/2025_x000a_SDG/DGAP/3694/2025"/>
    <s v="_x000a_2*1S.1/01-2025 exp.77"/>
    <s v="Solicita se le de atención a la C.Tania Sulema Calva, del Mpio. del Arenal, quien solicita mediación con CFE para llevar a cabo la ampliación de red eléctrica, en la localidad de &quot;Santa Rosa&quot;, en dicho lugar. "/>
    <s v="ING. FRANCISCO"/>
    <d v="2025-06-06T00:00:00"/>
    <s v="SI"/>
    <s v="PARA SU ATENCIÓN_x000a_GESTIÓN_x000a_SDE-UCC-05443-25_x000a_Se da respuesta con oficio AEEH/DG/503/2025, de fecha 23/junio/25, enviado a Ing. Octavio Gómez Paulín"/>
    <x v="1"/>
    <x v="3"/>
    <x v="38"/>
    <s v="Santa Rosa"/>
    <n v="1"/>
    <m/>
    <s v="CENTRO ORIENTE"/>
  </r>
  <r>
    <n v="120"/>
    <s v="404"/>
    <s v="MAYO"/>
    <d v="2025-05-30T00:00:00"/>
    <s v="SEDECO/CGI/TI/0584/2025_x000a_UPLAPH/DESP/1285/2025"/>
    <s v="_x000a_2*1S.1/01-2025 exp.78"/>
    <s v="Solicita se le de atención a la solicitud de la Mtra. Adriana Bautista Cortés y C. María Alejandra Cortés lugo, de la comunidad el Dendho, Mpio. de Atitalaquia, quienes solicitan apoyo para la ampliación de la red eléctrica en la calle Álvaro Obregón, de dicha Localidad"/>
    <s v="ING. FRANCISCO"/>
    <d v="2025-06-06T00:00:00"/>
    <s v="SI"/>
    <s v="PARA SU ATENCIÓN_x000a_GESTIÓN_x000a_SDE-UCC-05433-25_x000a_Se da respuesta con oficio AEEH/DG/489/2025, de fecha 23/junio/25, enviado a Ing. Octavio Gómez Paulín"/>
    <x v="0"/>
    <x v="3"/>
    <x v="34"/>
    <s v="Dendho"/>
    <n v="2"/>
    <m/>
    <s v="CENTRO ORIENTE"/>
  </r>
  <r>
    <n v="121"/>
    <s v="410"/>
    <s v="JUNIO"/>
    <d v="2025-06-03T00:00:00"/>
    <s v="C.E./Optva./Adto./2420"/>
    <s v="Arq. Orlando"/>
    <s v="Solicita que personal de esta AEEH, capacite al personal de esa Fuerza Armada en Funciones de Seguridad Pública, con temas relacionados con hidrocarburos, así como la identificación, clasificación, derivados y verificación de documentos a los transportistas de hidrocarburo"/>
    <s v="ARQ. ORLANDO"/>
    <d v="2025-06-06T00:00:00"/>
    <s v="SI"/>
    <s v="Atendido "/>
    <x v="0"/>
    <x v="2"/>
    <x v="1"/>
    <m/>
    <n v="1"/>
    <m/>
    <m/>
  </r>
  <r>
    <n v="122"/>
    <s v="412"/>
    <s v="JUNIO"/>
    <d v="2025-06-03T00:00:00"/>
    <s v="SEDECO/CGI/TI/0593/2025_x000a_SDG/DGAP/3605/2025"/>
    <s v="_x000a_2*1S.1/01-2025 exp.79"/>
    <s v="Solicita se de atención al  C. Pablo Paredes Barrera, Eduardo Sánchez Blancas y Martín Barrera Acosta, del Municipio del Arenal, solicita mediación con CFE para llevar a cabo la ampliación de la red eléctrica en la localidad de  Fray Francisco M-3 El Sitio y El Rincón, M-La Meza, de dicho lugar."/>
    <s v="ING. FRANCISCO"/>
    <d v="2025-06-06T00:00:00"/>
    <s v="SI"/>
    <s v="PARA SU ATENCIÓN_x000a_GESTIÓN_x000a_SDE-UCC-05447-25_x000a_Se da respuesta con oficio AEEH/DG/505/2025, de fecha 23/junio/25, enviado a Ing. Octavio Gómez Paulín_x000a_Seguimiento con oficio AEEH/DG/576/2025, del 10-jul-25, enviado a Ing. Rafael Navarro Pérez, Superintendente CFE Zona Pachuca."/>
    <x v="1"/>
    <x v="3"/>
    <x v="38"/>
    <s v="Fray Francisco"/>
    <n v="3"/>
    <m/>
    <s v="CENTRO ORIENTE"/>
  </r>
  <r>
    <n v="123"/>
    <s v="413"/>
    <s v="JUNIO"/>
    <d v="2025-06-03T00:00:00"/>
    <s v="SEDECO/CGI/TI/0577/2025_x000a_SDG/DGAP/3631/2025"/>
    <s v="_x000a_2*1S.1/01-2025 exp.80"/>
    <s v="Solicita se le de atención a la C.Teresa Pagola Olgín, del Mpio. del Arenal, quien solicita mediación con CFE para llevar a cabo la ampliación de red eléctrica, en lacalle La Palma, en el Barrio El Calvario, en dicho lugar. "/>
    <s v="ING. FRANCISCO"/>
    <d v="2025-06-06T00:00:00"/>
    <s v="SI"/>
    <s v="PARA SU ATENCIÓN_x000a_GESTIÓN_x000a_SDE-UCC-05449-25_x000a_Se da respuesta con oficio AEEH/DG/488/2025, de fecha 23/junio/25, enviado a Ing. Octavio Gómez Paulín"/>
    <x v="1"/>
    <x v="3"/>
    <x v="38"/>
    <s v="Barrio El Calvario"/>
    <n v="1"/>
    <m/>
    <s v="CENTRO ORIENTE"/>
  </r>
  <r>
    <n v="124"/>
    <s v="414"/>
    <s v="JUNIO"/>
    <d v="2025-06-03T00:00:00"/>
    <s v="SEDECO/CGI/TI/0590/2025_x000a_SDG/DGAP/3890/2025"/>
    <s v="_x000a_2*1S.1/01-2025 exp.81"/>
    <s v="Solicita se de atención al  C. Francisco Santano Vázquez Pérez,del Municipio del Acatlán, solicita mediación con CFE para llevar a cabo el suministro eléctrico en la localidad de Alcholoya, de dicho lugar."/>
    <s v="ING. FRANCISCO"/>
    <d v="2025-06-06T00:00:00"/>
    <s v="SI"/>
    <s v="PARA SU ATENCIÓN_x000a_GESTIÓN_x000a_SDE-UCC-05486-25_x000a_Se da respuesta con oficio AEEH/DG/504/2025, de fecha 23/junio/25, enviado a Ing. Octavio Gómez Paulín"/>
    <x v="1"/>
    <x v="3"/>
    <x v="39"/>
    <s v="Alcholoya"/>
    <n v="1"/>
    <m/>
    <s v="CENTRO ORIENTE"/>
  </r>
  <r>
    <n v="125"/>
    <s v="415"/>
    <s v="JUNIO"/>
    <d v="2025-06-03T00:00:00"/>
    <s v="SEDECO/CGI/TI/0591/2025_x000a_SDG/DGAP/3927/2025"/>
    <s v="_x000a_2*1S.1/01-2025 exp.82"/>
    <s v="Solicita se de atención al  C. Valentín Arellano Pérez,del Municipio del Agua Blanca de Iturbide, solicita mediación con CFE para llevar a cabo la ampliación de red eléctrica en la localidad de &quot;La Luz&quot;, de dicho lugar."/>
    <s v="ING. FRANCISCO"/>
    <d v="2025-06-06T00:00:00"/>
    <s v="SI"/>
    <s v="PARA SU ATENCIÓN_x000a_GESTIÓN_x000a_SDE-UCC-05488-25_x000a_Se da respuesta con oficio AEEH/DG/490/2025, de fecha 23/junio/25, enviado a Ing. Octavio Gómez Paulín"/>
    <x v="1"/>
    <x v="3"/>
    <x v="39"/>
    <s v="La Luz"/>
    <n v="1"/>
    <m/>
    <s v="CENTRO ORIENTE"/>
  </r>
  <r>
    <n v="126"/>
    <s v="416"/>
    <s v="JUNIO"/>
    <d v="2025-06-03T00:00:00"/>
    <s v="SEDECO/CGI/TI/0594/2025_x000a_SDG/DGAP/3590/2025"/>
    <s v="_x000a_2*1S.1/01-2025 exp.83"/>
    <s v="Solicita se le de atención a la C.Yolanda Serrano Moedano, del Mpio. del Arenal, quien solicita mediación con CFE para llevar a cabo la ampliación de red eléctrica, en la Avenida Emiliano Zapata, en dicho lugar. "/>
    <s v="ING. FRANCISCO"/>
    <d v="2025-06-06T00:00:00"/>
    <s v="SI"/>
    <s v="PARA SU ATENCIÓN_x000a_GESTIÓN_x000a_SDE-UCC-05448-25_x000a_Se da respuesta con oficio AEEH/DG/506/2025, de fecha 23/junio/25, enviado a Ing. Octavio Gómez Paulín"/>
    <x v="1"/>
    <x v="3"/>
    <x v="38"/>
    <s v="Avenida Emiliano Zapata"/>
    <n v="1"/>
    <m/>
    <s v="CENTRO ORIENTE"/>
  </r>
  <r>
    <n v="127"/>
    <s v="417"/>
    <s v="JUNIO"/>
    <d v="2025-06-03T00:00:00"/>
    <s v="SEDECO/CGI/TI/0598/2025_x000a_SDG/DGAP/3938/2025"/>
    <s v="asesorias 2025_x000a_exp.84"/>
    <s v="Solicita se le de atención a la C.Edith García Rosas, del Mpio. de Alfajayucan, quien solicita alumbrado y ampliación de postes, en M-7, calle empedrada, localidad Zozea, en dicho lugar. "/>
    <s v="ING. FRANCISCO"/>
    <d v="2025-06-06T00:00:00"/>
    <s v="SI"/>
    <s v="PARA SU ATENCIÓN_x000a_GESTIÓN_x000a_SDE-UCC-05489-25_x000a_Se da respuesta con oficio AEEH/DG/507/2025, de fecha 23/junio/25, enviado a Ing. Octavio Gómez Paulín"/>
    <x v="1"/>
    <x v="5"/>
    <x v="31"/>
    <m/>
    <n v="1"/>
    <m/>
    <s v="DIVISION BAJIO"/>
  </r>
  <r>
    <n v="128"/>
    <s v="418"/>
    <s v="JUNIO"/>
    <d v="2025-06-03T00:00:00"/>
    <s v="SEDECO/CGI/TI/0599/2025_x000a_SDG/DGAP/3924/2025"/>
    <s v="_x000a_2*1S.1/01-2025 exp.85"/>
    <s v="Solicita se de atención al  C. José Cutberto Flores Silva,Sergio Ortíz Arista y Rocio Ortega Aguilar, del Municipio de Huasca de Ocampo, solicitan mediación con CFE para equipar con energía eléctrica un pozo en la comunidad de San José Cacaloapan, de dicho lugar"/>
    <s v="ING. FRANCISCO"/>
    <d v="2025-06-06T00:00:00"/>
    <s v="SI"/>
    <s v="PARA SU ATENCIÓN_x000a_GESTIÓN_x000a_SDE-UCC-05487-25_x000a_Se da respuesta con oficio AEEH/DG/507/2025, de fecha 23/junio/25, enviado a Ing. Octavio Gómez Paulín"/>
    <x v="1"/>
    <x v="8"/>
    <x v="19"/>
    <s v="San José Cacaloapan"/>
    <n v="3"/>
    <m/>
    <s v="CENTRO ORIENTE"/>
  </r>
  <r>
    <n v="129"/>
    <s v="419"/>
    <s v="JUNIO"/>
    <d v="2025-06-03T00:00:00"/>
    <s v="SEDECO/CGI/TI/600/2025_x000a_SDG/DGAP/3947/2025"/>
    <s v="_x000a_2*1S.1/01-2025 exp.86"/>
    <s v="Solicita se le de atención a la C.Edith García Rosas, del Mpio. de Alfajayucan, quien solicita ampliación de energía eléctrica en M-7, calle Los árboles, localidad Zozea, en dicho lugar. "/>
    <s v="ING. FRANCISCO"/>
    <d v="2025-06-06T00:00:00"/>
    <s v="SI"/>
    <s v="PARA SU ATENCIÓN_x000a_GESTIÓN_x000a_SDE-UCC-05495-25_x000a_Se da respuesta con oficio AEEH/DG/508/2025, de fecha 23/junio/25, enviado a Ing. Octavio Gómez Paulín"/>
    <x v="1"/>
    <x v="3"/>
    <x v="31"/>
    <s v="Zozea"/>
    <n v="1"/>
    <m/>
    <s v="DIVISION BAJIO"/>
  </r>
  <r>
    <n v="130"/>
    <s v="420"/>
    <s v="JUNIO"/>
    <d v="2025-06-03T00:00:00"/>
    <s v="SEDECO/CGI/TI/603/2025_x000a_SDG/DGAP/3948/2025"/>
    <s v="_x000a_2*1S.1/01-2025 exp.87"/>
    <s v="Solicita se le de atención a la C.Alejandra Hernández Vázquez, del Mpio. de Mineral de la Reforma, quien solicita electrificación en el Ejido Ampliación El Saucillo, en dicho lugar. "/>
    <s v="ING. FRANCISCO"/>
    <d v="2025-06-06T00:00:00"/>
    <s v="SI"/>
    <s v="PARA SU ATENCIÓN_x000a_GESTIÓN_x000a_SDE-UCC-05497-25_x000a_Se da respuesta con oficio AEEH/DG/509/2025, de fecha 23/junio/25, enviado a Ing. Octavio Gómez Paulín"/>
    <x v="1"/>
    <x v="3"/>
    <x v="14"/>
    <s v="Ejido Ampliación El Saucillo"/>
    <n v="1"/>
    <m/>
    <s v="CENTRO ORIENTE"/>
  </r>
  <r>
    <n v="131"/>
    <s v="421"/>
    <s v="JUNIO"/>
    <d v="2025-06-04T00:00:00"/>
    <s v="SSB/COR-05.130-DMC-265-2025"/>
    <m/>
    <s v="Ing. Daniel Méndez Cuaya, Responsable de Zona Comercial Tula, envía respuesta del of. AEEH/DG/427/2025, y convoca a reunión el día 10-jun-25 a las 11:00 hrs. para el asunto de los  &quot;Productores de San Isidro Boxaxni S. de R.L. D MI&quot;, relacionada con el adeudo que presenta el Comité ante CFE, con nombre en el recibo &quot;Sociedad de Credito Ejidal*Col&quot; No. de servicio 271900100543."/>
    <s v="ARQ. ORLANDO"/>
    <d v="2025-06-06T00:00:00"/>
    <s v="SI"/>
    <s v="Asiste a dicha Reunión en representación de Arq. Ivonne Ramírez, el Ing. Francisco Callejas Pérez."/>
    <x v="0"/>
    <x v="1"/>
    <x v="40"/>
    <s v="San Isidro Boxaxni"/>
    <n v="1"/>
    <m/>
    <s v="CENTRO ORIENTE"/>
  </r>
  <r>
    <n v="132"/>
    <s v="435"/>
    <s v="JUNIO"/>
    <d v="2025-06-06T00:00:00"/>
    <s v="SEDECO/CGI/TI/0610/2025_x000a_SDG/DGAP/3984/2025"/>
    <s v="_x000a_2*1S.1/01-2025 exp.88"/>
    <s v="Solicita se de atención al  C. Francisco León Vázquez, Andrés Enciso Alvarado y Ana Yeni Enciso Hdez., del Municipio del Cardonal, quienes solicitan mediación con CFE para la reubicación de postes y ampliación de red eléctrica en la comunidad de &quot;Loma Vázquez&quot;, de dicho lugar"/>
    <s v="ING. FRANCISCO"/>
    <d v="2025-06-11T00:00:00"/>
    <s v="SI"/>
    <s v="PARA SU ATENCIÓN_x000a_GESTIÓN_x000a_SDE-UCC-05512-25_x000a_Se da respuesta con oficio AEEH/DG/492/2025, de fecha 23/junio/25, enviado a Ing. Octavio Gómez Paulín"/>
    <x v="1"/>
    <x v="10"/>
    <x v="41"/>
    <s v="Loma Vázquez"/>
    <n v="3"/>
    <m/>
    <s v="DIVISION BAJIO"/>
  </r>
  <r>
    <n v="133"/>
    <s v="436"/>
    <s v="JUNIO"/>
    <d v="2025-06-06T00:00:00"/>
    <s v="SEDECO/CGI/TI/0611/2025_x000a_SDG/DGAP/4010/2025"/>
    <s v="_x000a_2*1S.1/01-2025 exp.89"/>
    <s v="Solicita se de atención al  C. Rogelio Sánchez Ramírez y Javier Cruz Cruz, del Municipio del Cardonal, quien solicita mediación con CFE para la ampliación de red eléctrica, en la localidad de &quot;El Moxthe&quot;, de dicho lugar"/>
    <s v="ING. FRANCISCO"/>
    <d v="2025-06-11T00:00:00"/>
    <s v="SI"/>
    <s v="PARA SU ATENCIÓN_x000a_GESTIÓN_x000a_SDE-UCC-05514-25_x000a_Se da respuesta con oficio AEEH/DG/493/2025, de fecha 23/junio/25, enviado a Ing. Octavio Gómez Paulín"/>
    <x v="1"/>
    <x v="3"/>
    <x v="41"/>
    <s v="El Moxthe"/>
    <n v="2"/>
    <m/>
    <s v="DIVISION BAJIO"/>
  </r>
  <r>
    <n v="134"/>
    <s v="437"/>
    <s v="JUNIO"/>
    <d v="2025-06-06T00:00:00"/>
    <s v="SEDECO/CGI/TI/0615/2025_x000a_SDG/DGAP/4080/2025"/>
    <s v="_x000a_2*1S.1/01-2025 exp.93"/>
    <s v="Solicita se le de atención a la C.Hilda González Ambrosio, del Mpio. de Chapulhuacán, quien solicita apoyo con el cambio de postes de luz que son de madera y estan en mal estado, por postes de concreto, en lalocalidad La Escondida, en dicho lugar. "/>
    <s v="ING. FRANCISCO"/>
    <d v="2025-06-11T00:00:00"/>
    <s v="SI"/>
    <s v="PARA SU ATENCIÓN_x000a_GESTIÓN_x000a_SDE-UCC-05521-25_x000a_Se da respuesta con oficio AEEH/DG/510/2025, de fecha 23/junio/25, enviado a Ing. Octavio Gómez Paulín._x000a_Seguimiento con oficio AEEH/DG/655/2025, del 29-jul-25, enviado a Ing. Gerardo Aguilera Coria, Superintendente CFE Distribución Zona Ixmiquilpan."/>
    <x v="1"/>
    <x v="6"/>
    <x v="23"/>
    <s v="La Escondida"/>
    <n v="1"/>
    <m/>
    <s v="DIVISION BAJIO"/>
  </r>
  <r>
    <n v="135"/>
    <s v="438"/>
    <s v="JUNIO"/>
    <d v="2025-06-06T00:00:00"/>
    <s v="SEDECO/CGI/TI/0616/2025_x000a_SDG/DGAP/4114/2025"/>
    <s v="_x000a_2*1S.1/01-2025 exp.90"/>
    <s v="Solicita se le de atención a la C.Patricia Sánchez Piña, Delegada de Estación Sayula, del Mpio. de Tepetitlán, quien solicita mediación con CFE para llevar a cabo el cambio de poste de luz , en la localidad de &quot;Estación Sayula&quot;, en dicho lugar. "/>
    <s v="ING. FRANCISCO"/>
    <d v="2025-06-11T00:00:00"/>
    <s v="SI"/>
    <s v="PARA SU ATENCIÓN_x000a_GESTIÓN_x000a_SDE-UCC-05550-25_x000a_Se da respuesta con oficio AEEH/DG/494/2025, de fecha 23/junio/25, enviado a Ing. Octavio Gómez Paulín"/>
    <x v="1"/>
    <x v="6"/>
    <x v="42"/>
    <s v="Estación Sayula"/>
    <n v="1"/>
    <m/>
    <s v="CENTRO ORIENTE"/>
  </r>
  <r>
    <n v="136"/>
    <s v="439"/>
    <s v="JUNIO"/>
    <d v="2025-06-06T00:00:00"/>
    <s v="SEDECO/CGI/TI/0617/2025_x000a_SDG/DGAP/4130/2025"/>
    <s v="_x000a_2*1S.1/01-2025 exp.94"/>
    <s v="Solicita se de atención al  C. Aurelio Guerrero Anaya, Delegado de la localidad 2da Manzana, mpio. Tepetitlán, quien solicita mediación con CFE para la ampliación de red eléctrica, en las calles: Bonsay, Av. Universidad, Cedro, Pirul, Lurel y Palma, de dicho lugar."/>
    <s v="ING. FRANCISCO"/>
    <d v="2025-06-11T00:00:00"/>
    <s v="SI"/>
    <s v="PARA SU ATENCIÓN_x000a_GESTIÓN_x000a_SDE-UCC-05548-25_x000a_Se da respuesta con oficio AEEH/DG/511/2025, de fecha 23/junio/25, enviado a Ing. Octavio Gómez Paulín"/>
    <x v="1"/>
    <x v="3"/>
    <x v="42"/>
    <s v="2da. Manzana"/>
    <n v="1"/>
    <m/>
    <s v="CENTRO ORIENTE"/>
  </r>
  <r>
    <n v="137"/>
    <s v="440"/>
    <s v="JUNIO"/>
    <d v="2025-06-06T00:00:00"/>
    <s v="SEDECO/CGI/TI/0618/2025_x000a_SDG/DGAP/4140/2025"/>
    <s v="_x000a_2*1S.1/01-2025 exp.92"/>
    <s v="Solicita se le de atención a la C.Patricia Sánchez Piña, Delegada de Estación Sayula, del Mpio. de Tepetitlán, quien solicita mediación con CFE para llevar a cabo la reubicación de postes y un transformador, ya que tienes variaciones de voltaje, en la localidad de &quot;Estación Sayula&quot;, en dicho lugar. "/>
    <s v="ING. FRANCISCO"/>
    <d v="2025-06-11T00:00:00"/>
    <s v="SI"/>
    <s v="PARA SU ATENCIÓN_x000a_GESTIÓN_x000a_SDE-UCC-05551-25_x000a_Se da respuesta con oficio AEEH/DG/496/2025, de fecha 23/junio/25, enviado a Ing. Octavio Gómez Paulín"/>
    <x v="1"/>
    <x v="6"/>
    <x v="42"/>
    <s v="Estación Sayula"/>
    <n v="1"/>
    <m/>
    <s v="CENTRO ORIENTE"/>
  </r>
  <r>
    <n v="138"/>
    <s v="441"/>
    <s v="JUNIO"/>
    <d v="2025-06-06T00:00:00"/>
    <s v="SEDECO/CGI/TI/0619/2025_x000a_SDG/DGAP/4123/2025"/>
    <s v="_x000a_2*1S.1/01-2025 exp.91"/>
    <s v="Solicita se de atención al  C. Heriberto Vizzuet Vizzuet y Eduardo Godínez Vizzuet, Delegado y Subdelegado de Xithi, Primera Sección, del Municipio de Tasquillo, quien solicita mediación con CFE para el cambio de postes de luz , de dicho lugar"/>
    <s v="ING. FRANCISCO"/>
    <d v="2025-06-11T00:00:00"/>
    <s v="SI"/>
    <s v="PARA SU ATENCIÓN_x000a_GESTIÓN_x000a_SDE-UCC-05549-25Se da respuesta con oficio AEEH/DG/495/2025, de fecha 23/junio/25, enviado a Ing. Octavio Gómez Paulín"/>
    <x v="1"/>
    <x v="6"/>
    <x v="42"/>
    <s v="Xithi 1a.Sección"/>
    <n v="2"/>
    <m/>
    <s v="CENTRO ORIENTE"/>
  </r>
  <r>
    <n v="139"/>
    <s v="443"/>
    <s v="JUNIO"/>
    <d v="2025-06-09T00:00:00"/>
    <s v="CEDSPI/DC/428/2025"/>
    <m/>
    <s v="Lic. Prisco Manuel Gutiérrez, Comisionado Estatal para el Desrrollo Sostenible de los Pueblos Indígenas, Envía respuesta del oficio AEEH/DG/416/2025, en el que envía documentación e información anexa en CD"/>
    <s v="ARQ. ORLANDO"/>
    <d v="2025-06-11T00:00:00"/>
    <s v="SI"/>
    <s v="PARA SU ATENCIÓN_x000a_GESTIÓN_x000a_SDE-AEEH-00271-25"/>
    <x v="0"/>
    <x v="2"/>
    <x v="1"/>
    <m/>
    <n v="1"/>
    <m/>
    <m/>
  </r>
  <r>
    <n v="140"/>
    <s v="445"/>
    <s v="JUNIO"/>
    <d v="2025-06-10T00:00:00"/>
    <s v="SEDECO/CAyP/0053/2025"/>
    <m/>
    <s v="Envía copia del oficio SC/194/2025, del 30/05/25, emitido por el Dr. Álvaro Bardales Ramírez, Srio. de Contraloría, quien comunica los siguientes lineamientos:_x000a_I. Acuerdos de creación o reformas de la Integración de Comites de Adquisiciones y de Obra Pública_x000a_II. Revisión de Bases y procedimientos de contratación_x000a_III. Presentación de informes mensuales"/>
    <s v="ARQ. ORLANDO"/>
    <d v="2025-06-16T00:00:00"/>
    <s v="SI"/>
    <s v="Atendido "/>
    <x v="0"/>
    <x v="2"/>
    <x v="1"/>
    <m/>
    <n v="1"/>
    <m/>
    <m/>
  </r>
  <r>
    <n v="141"/>
    <s v="458"/>
    <s v="JUNIO"/>
    <d v="2025-06-17T00:00:00"/>
    <s v="SEDECO/CGI/TI/0629/2025_x000a_SDG/DGAP/4191/2025"/>
    <s v="_x000a_2*1S.1/01-2025 exp.95"/>
    <s v="Solicita se de atención a la C. Reina Isabel Vigueta Vizuett, del Mpio. de Tepetitlán, quien solicita mediación con CFE , para ser beneficiados con la rehabilitación de la red eléctrica en la comunidad Xithi 1ra. sección, del lado del empedrado, en dicho lugar. "/>
    <s v="ING. FRANCISCO"/>
    <d v="2025-06-18T00:00:00"/>
    <s v="SI"/>
    <s v="PARA SU ATENCIÓN_x000a_GESTIÓN_x000a_SDE-UCC-05552-25_x000a_Se da respuesta con oficio AEEH/DG/577/2025, de fecha 11/julio/25, enviado a Ing. Octavio Gómez Paulín"/>
    <x v="1"/>
    <x v="6"/>
    <x v="42"/>
    <s v="Xithi"/>
    <n v="1"/>
    <m/>
    <s v="CENTRO ORIENTE"/>
  </r>
  <r>
    <n v="142"/>
    <s v="459"/>
    <s v="JUNIO"/>
    <d v="2025-06-17T00:00:00"/>
    <s v="SEDECO/CGI/TI/0632/2025_x000a_SDG/DGAP/4203/2025"/>
    <s v="_x000a_2*1S.1/01-2025 exp.96"/>
    <s v="Solicita se de atención a la C. Herlinda Lugo Pérez, del Mpio. de  Chapantongo, Solicita mediación con CFE para la reubicación de cables de luz de alta tensión ya que afectan en su domicilio en la localidad de Toxthe, en dicho lugar. "/>
    <s v="ING. FRANCISCO"/>
    <d v="2025-06-18T00:00:00"/>
    <s v="SI"/>
    <s v="PARA SU ATENCIÓN_x000a_GESTIÓN_x000a_SDE-UCC-05555-25_x000a_Se da respuesta con oficio AEEH/DG/578/2025, de fecha 11/julio/25, enviado a Ing. Octavio Gómez Paulín._x000a_Seguimiento con oficio AEEH/DG/664/2025, del 30-jul-25, enviado a Ing. Abraham Méndez Sánchez, Superintendente de CFE Distribución Zona Tula"/>
    <x v="1"/>
    <x v="6"/>
    <x v="43"/>
    <s v="Toxthe"/>
    <n v="1"/>
    <m/>
    <s v="CENTRO ORIENTE"/>
  </r>
  <r>
    <n v="143"/>
    <s v="460"/>
    <s v="JUNIO"/>
    <d v="2025-06-17T00:00:00"/>
    <s v="SEDECO/CGI/TI/0633/2025_x000a_SDG/DGAP/4205/2025"/>
    <s v="_x000a_2*1S.1/01-2025 exp.97"/>
    <s v="Solicita se de atención a la C. Evelyn Rivera Nava, del Mpio. de  Chapantongo, Solicita mediación con CFE para la ampliación de red eléctrica en su domicilio ubicado en el Barrio de San Antonio, sobre Carr. Federal Tula-Tepetitlán, para beneficio de 3 viviendas"/>
    <s v="ING. FRANCISCO"/>
    <d v="2025-06-18T00:00:00"/>
    <s v="SI"/>
    <s v="PARA SU ATENCIÓN_x000a_GESTIÓN_x000a_SDE-UCC-05554-25_x000a_Se da respuesta con oficio AEEH/DG/579/2025, de fecha 11/julio/25, enviado a Ing. Octavio Gómez Paulín"/>
    <x v="1"/>
    <x v="3"/>
    <x v="43"/>
    <s v="Barrio de San Antonio"/>
    <n v="5"/>
    <m/>
    <s v="CENTRO ORIENTE"/>
  </r>
  <r>
    <n v="144"/>
    <s v="461"/>
    <s v="JUNIO"/>
    <d v="2025-06-17T00:00:00"/>
    <s v="SEDECO/CGI/TI/0636/2025_x000a_SDG/DGAP/4290/2025"/>
    <s v="asesorias 2025_x000a_exp.101"/>
    <s v="Solicita se de atención a la C. Melissa del Carmen Guzmán García, del Mpio. de  Mral. de la Reforma, solicita reinstalación de cableado eléctrico de las luminarias públicas en fracc. pases de chavarria 5ta. seción &quot;metales&quot;M-23E, Pase de Manganeso"/>
    <s v="ING. FRANCISCO"/>
    <d v="2025-06-18T00:00:00"/>
    <s v="SI"/>
    <s v="PARA SU ATENCIÓN_x000a_GESTIÓN_x000a_SDE-UCC-05572-25_x000a_Se da respuesta con oficio AEEH/DG/580/2025, de fecha 11/julio/25, enviado a Ing. Octavio Gómez Paulín"/>
    <x v="1"/>
    <x v="5"/>
    <x v="14"/>
    <m/>
    <n v="1"/>
    <m/>
    <s v="CENTRO ORIENTE"/>
  </r>
  <r>
    <n v="145"/>
    <s v="462"/>
    <s v="JUNIO"/>
    <d v="2025-06-17T00:00:00"/>
    <s v="SEDECO/CGI/TI/0638/2025_x000a_SDG/DGAP/4285/2025"/>
    <s v="_x000a_2*1S.1/01- 2025 exp.98"/>
    <s v="Solicita se de atención al Delegado José Mauri León Moreno, del Mpio. de  Zimapan, solicita ampliación de red eléctrica en las Manzanas Otra Banda, el Álamo, El Agüita, de la Delegación Benito Juárez Detzani"/>
    <s v="ING. FRANCISCO"/>
    <d v="2025-06-18T00:00:00"/>
    <s v="SI"/>
    <s v="PARA SU ATENCIÓN_x000a_GESTIÓN_x000a_SDE-UCC-05570-25_x000a_Se da respuesta con oficio AEEH/DG/581/2025, de fecha 11/julio/25, enviado a Ing. Octavio Gómez Paulín"/>
    <x v="1"/>
    <x v="3"/>
    <x v="44"/>
    <s v="Delegación Benito Juárez Detzani"/>
    <n v="1"/>
    <m/>
    <s v="DIVISION BAJIO"/>
  </r>
  <r>
    <n v="146"/>
    <s v="463"/>
    <s v="JUNIO"/>
    <d v="2025-06-17T00:00:00"/>
    <s v="SEDECO/CGI/TI/0658/2025_x000a_SDG/DGAP/4383/2025"/>
    <s v="_x000a_2*1S.1/01-2025 exp.99"/>
    <s v="Solicita se de atención al  C. Fortino Torres Olguín, del Mpio. de  Zimapan, solicita ampliación de red eléctrica en la Manzana Agua Grande Poniente, de la Comunidad &quot;francisco I. Madero&quot;, de dicho lugar."/>
    <s v="ING. FRANCISCO"/>
    <d v="2025-06-18T00:00:00"/>
    <s v="SI"/>
    <s v="PARA SU ATENCIÓN_x000a_GESTIÓN_x000a_SDE-UCC-05586-25_x000a_Se da respuesta con oficio AEEH/DG/582/2025, de fecha 11/julio/25, enviado a Ing. Octavio Gómez Paulín"/>
    <x v="1"/>
    <x v="3"/>
    <x v="44"/>
    <s v="Francisco I Madero"/>
    <n v="1"/>
    <m/>
    <s v="DIVISION BAJIO"/>
  </r>
  <r>
    <n v="147"/>
    <s v="464"/>
    <s v="JUNIO"/>
    <d v="2025-06-17T00:00:00"/>
    <s v="SEDECO/CGI/TI/0659/2025_x000a_SDG/DGAP/4437/2025"/>
    <s v="_x000a_2*1S.1/01-2025 exp.100"/>
    <s v="Solicita se de atención al  C. Eduardo Montes Cuellar, del Barrio de San Antonio, Mpio. de Tasquillo, quien solicita encontrar alternativas ante la intermitencia del servicio électrico en las comunidades de Remedios, San Antonio, El Nuevo Arenal y Candelaria, en dicho lugar."/>
    <s v="ING. FRANCISCO"/>
    <d v="2025-06-18T00:00:00"/>
    <s v="SI"/>
    <s v="PARA SU ATENCIÓN_x000a_GESTIÓN_x000a_SDE-UCC-05639-25_x000a_Se da respuesta con oficio AEEH/DG/583/2025, de fecha 11/julio/25, enviado a Ing. Octavio Gómez Paulín"/>
    <x v="1"/>
    <x v="6"/>
    <x v="45"/>
    <s v="Remedios_x000a_San Antonio_x000a_El Nuevo Arenal_x000a_Candelaria"/>
    <n v="1"/>
    <m/>
    <s v="DIVISION BAJIO"/>
  </r>
  <r>
    <n v="148"/>
    <s v="465"/>
    <s v="JUNIO"/>
    <d v="2025-06-17T00:00:00"/>
    <s v="SEDECO/CGI/TI/0660/2025_x000a_SDG/DGAP/4457/2025"/>
    <s v="Exp. Diego"/>
    <s v="Solicita se de atención a la C. Reyna Beatriz Tapia Uribe, del Mpio. de Francisco I. Madero, quien solicita dar seguimiento al proyecto de instalación y funcionamiento de una antena de Telecomunicaciones para la comunidad de San Juan Tepa, en dicho lugar."/>
    <s v=" ARQ. DIEGO"/>
    <d v="2025-06-18T00:00:00"/>
    <s v="SI"/>
    <s v="PARA SU ATENCIÓN_x000a_GESTIÓN_x000a_SDE-UCC-05549-25_x000a_Se envía correo a la peticionaria, solicitandole información adicional, para dar seguimiento a su solicitud._x000a_*Se da respuesta con oficio AEEH/DG/702/2025, DEL 12-AGOSTO-25"/>
    <x v="1"/>
    <x v="11"/>
    <x v="46"/>
    <s v="San Juan Tepa"/>
    <n v="1"/>
    <m/>
    <s v="CENTRO ORIENTE"/>
  </r>
  <r>
    <n v="149"/>
    <s v="468"/>
    <s v="JUNIO"/>
    <d v="2025-06-18T00:00:00"/>
    <s v="SEMARNATH/SSyCC/DGCC/DS-000389/2025"/>
    <s v="Diego"/>
    <s v="La SEMARNATH, hace invitación al evento protocolario y taller participativo para la actualización del Programa Estatal de Acción ante el Cambio Climático de Hidalgo (PEACCH), que se llevará a cabo el día 20 de junio del año en curso de 9:00 a 14:00 hrs., en las instalaciones de la Universidad Tecnológica Minera de Zimapán (UTMZ)."/>
    <s v=" ARQ. DIEGO"/>
    <d v="2025-06-18T00:00:00"/>
    <s v="SI"/>
    <s v="Asiste a dicho taller el Arq. Diego Rosales Torres"/>
    <x v="0"/>
    <x v="0"/>
    <x v="1"/>
    <m/>
    <n v="1"/>
    <m/>
    <m/>
  </r>
  <r>
    <n v="150"/>
    <s v="475"/>
    <s v="JUNIO"/>
    <d v="2025-06-19T00:00:00"/>
    <s v="CELSH/CDE/LXVI/125"/>
    <s v="2*1S.5/03-2025"/>
    <s v="Solicita la opinión técnica de la propuesta de Acuerdo Económico No. 93, presentada por la Diputada Yarabi González Martínez, denominado: &quot;Propuesta de acuerdo económico por el que se exhorta a CFE, implementen un estudio y análisis sobre la ubicación y posible rehubicación de los postes de transmisión de energía eléctrica en los mpios. pertenecientes a la sierra Otomí Tepehua&quot;&quot;"/>
    <s v="ARQ. ORLANDO"/>
    <d v="2025-06-30T00:00:00"/>
    <s v="SI"/>
    <s v="PARA SU ATENCIÓN_x000a_GESTIÓN_x000a_SDE-AEEH-00287-25_x000a_Se envía oficio AEEH/DG/606/2025, de fecha 17-de julio-2025, turnado al Dip. Carlos Alejandro Alcantará Carbajal, Presidente de la Comisión de Desarrollo Económico"/>
    <x v="0"/>
    <x v="10"/>
    <x v="18"/>
    <m/>
    <n v="1"/>
    <m/>
    <m/>
  </r>
  <r>
    <n v="151"/>
    <s v="476"/>
    <s v="JUNIO"/>
    <d v="2025-06-18T00:00:00"/>
    <s v="CELSH/CDE/LXVI/127"/>
    <s v="2*1S.5/03-2025"/>
    <s v="Solicita la opinión técnica de la propuesta de Acuerdo Económico No. 116, presentada por la Diputada PalomaBarragán Santos, denominado: &quot;Acuerdo Económico por el que se exhorta a CFE a efecto de que se atiendan los constantes apagones en toda la zona de la Huasteca Hidalguense, debido a las condiciones climatológicas de la temporada&quot;"/>
    <s v="ARQ. ORLANDO"/>
    <d v="2025-06-30T00:00:00"/>
    <s v="SI"/>
    <s v="PARA SU ATENCIÓN_x000a_GESTIÓN_x000a_SDE-AEEH-00288-25_x000a_Se envía oficio AEEH/DG/607/2025, de fecha 17-de julio-2025, turnado al Dip. Carlos Alejandro Alcantará Carbajal, Presidente de la Comisión de Desarrollo Económico"/>
    <x v="0"/>
    <x v="6"/>
    <x v="27"/>
    <m/>
    <n v="1"/>
    <m/>
    <m/>
  </r>
  <r>
    <n v="152"/>
    <s v="483"/>
    <s v="JUNIO"/>
    <d v="2025-06-20T00:00:00"/>
    <s v="CAAySSPPEEH/DL/0602/2025"/>
    <s v="Arq. Orlando"/>
    <s v="Solicita su participación como área requiriente en los procedimientos de la Licitación Pública Nacional, correspondiente a la convocatoria No. 074, próxima a celebrarse, según calendario anexo"/>
    <s v="ARQ. ORLANDO"/>
    <d v="2025-06-20T00:00:00"/>
    <s v="SI"/>
    <s v="Arq. Orlando Martínez Juárez, Dir. De Proyectos e Infraestructura Energética, asiste a dichos procesos, en representación de la Arq. Ivonne Ramírez Núñez"/>
    <x v="0"/>
    <x v="2"/>
    <x v="1"/>
    <m/>
    <n v="1"/>
    <m/>
    <m/>
  </r>
  <r>
    <n v="153"/>
    <s v="486"/>
    <s v="JUNIO"/>
    <d v="2024-06-20T00:00:00"/>
    <s v="SEDECO/CGI/TI/0675/2025_x000a_SDG/DGAP/4542/2025"/>
    <s v="_x000a_2*1S.1/01-2025 exp.102"/>
    <s v="Solicita se de atención a la C. Tranquilina Hernández Chávez, del Mpio. de Tasquillo, quien solicita ampliación de red eléctrica para beneficiar a ciudadanos de la comunidad El Llano y Epazote en dicho lugar."/>
    <s v="ING. FRANCISCO"/>
    <d v="2025-06-23T00:00:00"/>
    <s v="SI"/>
    <s v="PARA SU ATENCIÓN_x000a_GESTIÓN_x000a_SDE-UCC-05641-25_x000a_Se da respuesta con oficio AEEH/DG/584/2025, de fecha 11/julio/25, enviado a Ing. Octavio Gómez Paulín"/>
    <x v="0"/>
    <x v="3"/>
    <x v="45"/>
    <s v="El Llano_x000a_Epazote"/>
    <n v="1"/>
    <m/>
    <s v="DIVISION BAJIO"/>
  </r>
  <r>
    <n v="154"/>
    <s v="487"/>
    <s v="JUNIO"/>
    <d v="2025-06-20T00:00:00"/>
    <s v="SEDECO/CGI/TI/0676/2025_x000a_SDG/DGAP/4564/2025"/>
    <s v="asesorias 2025_x000a_exp.103"/>
    <s v="Solicita se de atención al C. José Luis Torres Rojo, del Mpio. de Tasquillo, quien solicita ampliación del alumbrado público en la localidad &quot;El Nuevo Arenal&quot;, en dicho lugar."/>
    <s v="ING. FRANCISCO"/>
    <d v="2025-06-23T00:00:00"/>
    <s v="SI"/>
    <s v="PARA SU ATENCIÓN_x000a_GESTIÓN_x000a_SDE-UCC-05645-25_x000a_Se da respuesta con oficio AEEH/DG/585/2025, de fecha 11/julio/25, enviado a Ing. Octavio Gómez Paulín"/>
    <x v="0"/>
    <x v="5"/>
    <x v="45"/>
    <m/>
    <n v="1"/>
    <m/>
    <s v="DIVISION BAJIO"/>
  </r>
  <r>
    <n v="155"/>
    <s v="488"/>
    <s v="JUNIO"/>
    <d v="2025-06-20T00:00:00"/>
    <s v="SEDECO/CGI/TI/0677/2025_x000a_SDG/DGAP/4577/2025"/>
    <s v="_x000a_2*1S.1/01-2025 exp.104"/>
    <s v="Solicita se de atención al C. Alejandro Jasso Meza, del Mpio. de Tasquillo, quien solicita ampliación de la red eléctrica en la localidad &quot;El Zapote&quot;, en dicho lugar."/>
    <s v="ING. FRANCISCO"/>
    <d v="2025-06-23T00:00:00"/>
    <s v="SI"/>
    <s v="PARA SU ATENCIÓN_x000a_GESTIÓN_x000a_SDE-UCC-05642-25_x000a_Se da respuesta con oficio AEEH/DG/586/2025, de fecha 11/julio/25, enviado a Ing. Octavio Gómez Paulín"/>
    <x v="0"/>
    <x v="3"/>
    <x v="45"/>
    <s v="El Zapote"/>
    <n v="1"/>
    <m/>
    <s v="DIVISION BAJIO"/>
  </r>
  <r>
    <n v="156"/>
    <s v="500"/>
    <s v="JUNIO"/>
    <d v="2025-06-24T00:00:00"/>
    <s v="SEDECO/CGI/TI/0684/2025_x000a_SDG/DGAP/4626/2025"/>
    <s v="_x000a_2*1S.1/01-2025 exp.105"/>
    <s v="Solicita se de atención al  C. Julian Celso Benítez Badillo, del Mpio. de  San Agustín Metzquititlán, solicita apoyo para el cambio de red eléctrica en la comunidad &quot;Arroyo Hondo&quot;, de dicho lugar._x000a_Seguimiento al turno 661"/>
    <s v="ING. FRANCISCO"/>
    <d v="2025-06-26T00:00:00"/>
    <s v="SI"/>
    <s v="PARA SU ATENCIÓN_x000a_GESTIÓN_x000a_SDE-UCC-05671-25_x000a_Se da respuesta con oficios AEEH/DG/609/2025, del 17-julio-25, enviado a Ing. Octavio Gómez Paulin._x000a_Seguimiento con oficio  AEEH/DG/663/2025 del 30-jul-2025, enviado a Ing. Rafael Navarro Pérez, Superintendente CFE Distribución Zona Pachuca._x000a_CFE, da respuesta."/>
    <x v="1"/>
    <x v="6"/>
    <x v="47"/>
    <s v="Arroyo Hondo"/>
    <n v="1"/>
    <m/>
    <s v="CENTRO ORIENTE"/>
  </r>
  <r>
    <n v="157"/>
    <s v="501"/>
    <s v="JUNIO"/>
    <d v="2025-06-24T00:00:00"/>
    <s v="SEDECO/CGI/TI/0691/2025_x000a_SDG/DGAP/4630/2025"/>
    <s v="_x000a_2*1S.1/01-2025 exp.106"/>
    <s v="Solicita se de atención a la C. Alejandra Estrada Jiménez, del Mpio. de San Agustín Metzquititlán, quien solicita apoyo con la ampliación de la red eléctrica del Barrio Peñas Coloradas, en dicho lugar."/>
    <s v="ING. FRANCISCO"/>
    <d v="2025-06-26T00:00:00"/>
    <s v="SI"/>
    <s v="PARA SU ATENCIÓN_x000a_GESTIÓN_x000a_SDE-UCC-05672-25_x000a_Se da respuesta con oficio AEEH/DG/610/2025, de fecha 17/julio/25, enviado a Ing. Octavio Gómez Paulín"/>
    <x v="1"/>
    <x v="3"/>
    <x v="47"/>
    <s v="Barrio Peñas Coloradas"/>
    <n v="1"/>
    <m/>
    <s v="CENTRO ORIENTE"/>
  </r>
  <r>
    <n v="158"/>
    <s v="502"/>
    <s v="JUNIO"/>
    <d v="2025-06-24T00:00:00"/>
    <s v="SEDECO/CGI/TI/0692/2025_x000a_SDG/DGAP/4670/2025"/>
    <s v="_x000a_2*1S.1/01-2025 exp.107"/>
    <s v="Solicita se de atención al  C. Patricio Nochebuena Benítez, del Mpio. de  San Agustín Metzquititlán, quien solicita apoyo para la ampliación de red eléctrica en la comunidad de Cieneguillas, al lado del panteón, en dicho lugar."/>
    <s v="ING. FRANCISCO"/>
    <d v="2025-06-26T00:00:00"/>
    <s v="SI"/>
    <s v="PARA SU ATENCIÓN_x000a_GESTIÓN_x000a_SDE-UCC-05669-25_x000a_Se da respuesta con oficio AEEH/DG/610/2025, de fecha 17/julio/25, enviado a Ing. Octavio Gómez Paulín"/>
    <x v="1"/>
    <x v="3"/>
    <x v="47"/>
    <s v="Cieneguillas"/>
    <n v="1"/>
    <m/>
    <s v="CENTRO ORIENTE"/>
  </r>
  <r>
    <n v="159"/>
    <s v="503"/>
    <s v="JUNIO"/>
    <d v="2025-06-24T00:00:00"/>
    <s v="SEDECO/CGI/TI/0693/2025_x000a_SDG/DGAP/4671/2025"/>
    <s v="_x000a_2*1S.1/01-2025 exp.114"/>
    <s v="Solicita se de atención al  C. Zeferino Gutiérrez Escobar, del Mpio. de  San Agustín Metzquititlán, quien solicita apoyo e intervención de CFE  para encontrar alternativas relacionadas con el bombeo de agua potable, en la  localidad de Tuzanapa, en dicho lugar."/>
    <s v="ING. FRANCISCO"/>
    <d v="2025-06-26T00:00:00"/>
    <s v="SI"/>
    <s v="PARA SU ATENCIÓN_x000a_GESTIÓNSe da respuesta con oficio AEEH/DG/612/2025, de fecha 17/julio/25, enviado a Ing. Octavio Gómez Paulín_x000a_SDE-UCC-05668-25"/>
    <x v="1"/>
    <x v="8"/>
    <x v="47"/>
    <s v="Tuzanapa"/>
    <n v="1"/>
    <m/>
    <s v="CENTRO ORIENTE"/>
  </r>
  <r>
    <n v="160"/>
    <s v="504"/>
    <s v="JUNIO"/>
    <d v="2025-06-24T00:00:00"/>
    <s v="SEDECO/CGI/TI/0694/2025_x000a_SDG/DGAP/4729/2025"/>
    <s v="Ing. García"/>
    <s v="Solicita se de atención a la C. Minerva Ángeles Percasteguí, del Mpio. De Mineral de la Reforma, quien solicita apoyo con la donación de un transformador para suministro de energía eléctrica en beneficio de la escuela Secundaria Técnica 49 &quot;Abundio Martínez&quot;, en dicho lugar."/>
    <s v="ING. FRANCISCO"/>
    <d v="2025-06-26T00:00:00"/>
    <s v="SI"/>
    <s v="PARA SU ATENCIÓN_x000a_GESTIÓN_x000a_SDE-UCC-05665-25_x000a_Se da respuesta con oficio AEEH/DG/662/2025, de fecha 30/julio/25, enviado a Mtra. Maricarmen Margarita Mandujano Cerrilla, Coordinadora Gral. del Instituto Hidalguense de Educación._x000a_Y oficio AEEH-DG-793-2025, del 27/8/2025, enviado a Ing. Octavio Gómez Paulin"/>
    <x v="1"/>
    <x v="8"/>
    <x v="14"/>
    <s v="Secundaria Técnica 49&quot;Abundio Martínez&quot;"/>
    <n v="1"/>
    <m/>
    <s v="CENTRO ORIENTE"/>
  </r>
  <r>
    <n v="161"/>
    <s v="505"/>
    <s v="JUNIO"/>
    <d v="2025-06-24T00:00:00"/>
    <s v="SEDECO/CGI/TI/0695/2025_x000a_SDG/DGAP/4742/2025"/>
    <s v="_x000a_2*1S.1/01-2025 exp.108"/>
    <s v="Solicita se de atención a la C. María Angela Olivares Ramírez, del Mpio. de Tianguistengo, quien solicita ampliación de red eléctrica para el Barrio &quot;Achupil&quot;, en dicho lugar."/>
    <s v="ING. FRANCISCO"/>
    <d v="2025-06-26T00:00:00"/>
    <s v="SI"/>
    <s v="PARA SU ATENCIÓN_x000a_GESTIÓN_x000a_SDE-UCC-05682-25_x000a_Se da respuesta con oficio AEEH/DG/613/2025, de fecha 17/julio/25, enviado a Ing. Octavio Gómez Paulín"/>
    <x v="1"/>
    <x v="3"/>
    <x v="48"/>
    <s v="Barrio Achupi"/>
    <n v="1"/>
    <m/>
    <s v="GOLFO CENTRO"/>
  </r>
  <r>
    <n v="162"/>
    <s v="506"/>
    <s v="JUNIO"/>
    <d v="2025-06-24T00:00:00"/>
    <s v="SEDECO/CGI/TI/0696/2025_x000a_SDG/DGAP/4739/2025"/>
    <s v="_x000a_2*1S.1/01-2025 exp.112"/>
    <s v="Solicita se de atención a la C. Ma. Carlota Ramírez C.,, del Mpio. de Pachuca, quien solicita apoyo para la revisión de un poste de luz  que esta en malas condiciones y cerca de su domicilio, en 1° de Mayo #101 Col.Morelos, en dicho lugar."/>
    <s v="ING. FRANCISCO"/>
    <d v="2025-06-26T00:00:00"/>
    <s v="SI"/>
    <s v="PARA SU ATENCIÓN_x000a_GESTIÓN_x000a_SDE-UCC-05666-25_x000a_Se da respuesta con oficio AEEH/DG/614/2025, del 17-jul-25, enviado a Ing. Octavio Gómez Paulin._x000a_Seguimiento con oficio AEEH/DG/654/2025 del 29-jul-2025, enviado a Ing. Rafael Navarro Pérez, Superintendente CFE Distribución Zona Pachuca"/>
    <x v="1"/>
    <x v="6"/>
    <x v="1"/>
    <s v="Col. Morelos"/>
    <n v="1"/>
    <m/>
    <s v="CENTRO ORIENTE"/>
  </r>
  <r>
    <n v="163"/>
    <s v="507"/>
    <s v="JUNIO"/>
    <d v="2025-06-24T00:00:00"/>
    <s v="SEDECO/CGI/TI/0697/2025_x000a_SDG/DGAP/4779/2025"/>
    <s v="_x000a_2*1S.1/01-2025 exp.109"/>
    <s v="Solicita se de atención al  C.Victor Ramírez, del Mpio. de Tianguistengo, quien solicita apoyo ante CFE  para ampliación de red elétrica en la localidad de Soyatla Barrio &quot;Achupil&quot;, en dicho lugar."/>
    <s v="ING. FRANCISCO"/>
    <d v="2025-06-26T00:00:00"/>
    <s v="SI"/>
    <s v="PARA SU ATENCIÓN_x000a_GESTIÓN_x000a_SDE-UCC-05683-25_x000a_Se da respuesta con oficio AEEH/DG/615/2025, de fecha 17/julio/25, enviado a Ing. Octavio Gómez Paulín"/>
    <x v="1"/>
    <x v="3"/>
    <x v="48"/>
    <s v="Soyatla"/>
    <n v="10"/>
    <m/>
    <s v="GOLFO CENTRO"/>
  </r>
  <r>
    <n v="164"/>
    <s v="508"/>
    <s v="JUNIO"/>
    <d v="2025-06-24T00:00:00"/>
    <s v="SEDECO/CGI/TI/0698/2025_x000a_SDG/DGAP/4784/2025"/>
    <s v="_x000a_2*1S.1/01-2025 exp.113"/>
    <s v="Solicita se de atención al  C. Cecilio Monroy Acosta, del Mpio. de Tianguistengo, quien solicita apoyo para el retiro de cables de alta tensión que pasan por su domicilio en Calle Lic. Refugio Mercado, Barrio Tepeco, en dicho lugar."/>
    <s v="ING. FRANCISCO"/>
    <d v="2025-06-26T00:00:00"/>
    <s v="SI"/>
    <s v="PARA SU ATENCIÓN_x000a_GESTIÓN_x000a_SDE-UCC-05684-25_x000a_Se da respuesta con oficio AEEH/DG/616/2025, de fecha 17/julio/25, enviado a Ing. Octavio Gómez Paulín"/>
    <x v="1"/>
    <x v="10"/>
    <x v="48"/>
    <s v="Barrio Tepeco"/>
    <n v="1"/>
    <m/>
    <s v="GOLFO CENTRO"/>
  </r>
  <r>
    <n v="165"/>
    <s v="514"/>
    <s v="JUNIO"/>
    <d v="2025-06-25T00:00:00"/>
    <s v="SEDECO/CGI/TI/0701/2025_x000a_SDG/DGAP/4923/2025"/>
    <s v="_x000a_2*1S.1/01-2025 exp.110"/>
    <s v="Solicita se de atención a la  C. Norma Hernández  Cristóbal, del Mpio. de Francisco I. Madero, quien solicita apoyo con la ampliación de red electrica en Av. México y Cerrada Bolivia en la Col. Arambo"/>
    <s v="ING. FRANCISCO"/>
    <d v="2025-06-26T00:00:00"/>
    <s v="SI"/>
    <s v="PARA SU ATENCIÓN_x000a_GESTIÓN_x000a_SDE-UCC-05704-25_x000a_Se da respuesta con oficio AEEH/DG/617/2025, de fecha 17/julio/25, enviado a Ing. Octavio Gómez Paulín"/>
    <x v="1"/>
    <x v="3"/>
    <x v="46"/>
    <s v="Col. Arambo"/>
    <n v="1"/>
    <m/>
    <s v="CENTRO ORIENTE"/>
  </r>
  <r>
    <n v="166"/>
    <s v="517"/>
    <s v="JUNIO"/>
    <d v="2025-06-26T00:00:00"/>
    <s v="SEMARNATH/DESP/DGOET-0331/2025_x000a_"/>
    <s v="2*1S.4/01-2025"/>
    <s v="Hace referencia al oficio SEMARNATH/DESP/DGOET-0041-2025, de fecha 13-enero-25 y Solicita la información integral de los proyectos a desarrollar en el corto,  mediano y largo en plazo en los municipios involucrados, en formato shp, kml, y/o kmz, para el día 1-julio-25 "/>
    <s v="ARQ. DIEGO"/>
    <d v="2025-06-27T00:00:00"/>
    <s v="SI"/>
    <s v="Se da respuesta con oficio AEEH/DG/561/2025, de fecha 07/julio/25, enviado al Biol. Magdaleno Cervantes Bautista."/>
    <x v="0"/>
    <x v="2"/>
    <x v="1"/>
    <m/>
    <n v="1"/>
    <m/>
    <m/>
  </r>
  <r>
    <n v="167"/>
    <s v="543"/>
    <s v="JULIO"/>
    <d v="2025-07-01T00:00:00"/>
    <s v="SEMARNATH/DESP/DGOET-0331/2025_x000a_SEDECO/CGI/TI/0717/2025_x000a_"/>
    <s v="2*1S.4/01-2025"/>
    <s v="Sedeco solicita se de atención al oficio SEMARNATH/DESP/DGOET-0331/2025, el cual hace referencia al oficio SEMARNATH/DESP/DGOET-0041-2025, de fecha 13-01-25 y Solicita la información integral de los proyectos a desarrollar en el corto,  mediano y largoen plazo en los municipios involucrados, en formato shp, kml, y/o kmz, para el día 1-julio-25 "/>
    <s v="ARQ. DIEGO"/>
    <d v="2025-07-07T00:00:00"/>
    <s v="SI"/>
    <s v="PARA SU ATENCIÓN_x000a_GESTIÓN_x000a_SDE-UCC-05699-25_x000a_Se da respuesta con oficio AEEH/DG/567/2025, de fecha 07/julio/25, enviado a Ing. Octavio Gómez Paulín"/>
    <x v="0"/>
    <x v="2"/>
    <x v="1"/>
    <m/>
    <n v="1"/>
    <m/>
    <m/>
  </r>
  <r>
    <n v="168"/>
    <s v="532"/>
    <s v="JULIO"/>
    <d v="2025-07-03T00:00:00"/>
    <s v="SEDECO/CGI/TI/0724/2025_x000a_SDG/DGAP/5185/2025"/>
    <s v="_x000a_2*1S.1/01-2025 exp.115"/>
    <s v="Solicita se de atención al  C. Venancio Quintanar Rojo, Jessica González Marquez y Raymundo Glez. Hdez., del Mpio., de Tepeji del Río, solicitan             apoyo con dos postes para ampliciación de red electrica, en la Comunidad de Dos Peñas."/>
    <s v="ING. FRANCISCO"/>
    <d v="2025-07-07T00:00:00"/>
    <s v="SI"/>
    <s v="PARA SU ATENCIÓN_x000a_GESTIÓN_x000a_SDE-UCC-05750-25_x000a_Se da respuesta con oficio AEEH/DG/658/2025, de fecha 30-julio-25, enviado a Ing. Octavio Gómez Paulín"/>
    <x v="1"/>
    <x v="3"/>
    <x v="49"/>
    <s v="Dos Peñas"/>
    <n v="3"/>
    <m/>
    <s v="CENTRO ORIENTE"/>
  </r>
  <r>
    <n v="169"/>
    <s v="533"/>
    <s v="JULIO"/>
    <d v="2025-07-03T00:00:00"/>
    <s v="SEDECO/CGI/TI/0725/2025_x000a_SDG/DGAP/5128/2025"/>
    <m/>
    <s v="Solicita se de atención a la  C. Juana Moreno Granados., del Mpio., de Tepeji del Río, solicita ampliación de red eléctrica en la calle Hidalgo, comunidad de Santa María Quelites, en dicho lugar."/>
    <s v="ING. FRANCISCO"/>
    <d v="2025-07-07T00:00:00"/>
    <s v="SI"/>
    <s v="PARA SU ATENCIÓN_x000a_GESTIÓN_x000a_SDE-UCC-05748-25_x000a_Se da respuesta con oficio AEEH/DG/659/2025, de fecha 30/julio/25, enviado a Ing. Octavio Gómez Paulín"/>
    <x v="1"/>
    <x v="3"/>
    <x v="49"/>
    <s v="Santa María Quelites"/>
    <n v="1"/>
    <m/>
    <s v="CENTRO ORIENTE"/>
  </r>
  <r>
    <n v="170"/>
    <s v="534"/>
    <s v="JULIO"/>
    <d v="2025-07-03T00:00:00"/>
    <s v="SEDECO/CGI/TI/0726/2025_x000a_SDG/DGAP/5195/2025"/>
    <s v="_x000a_2*1S.1/01-2025 exp.117"/>
    <s v="Solicita se de atención a la  C. Rocio Mera Morales, del Mpio., de Tula de Allende, solicita alumbrado Público en las calles Manuel Doblado y Manuel Rojo del Río, en dicho lugar."/>
    <s v="ING. FRANCISCO"/>
    <d v="2025-07-07T00:00:00"/>
    <s v="SI"/>
    <s v="PARA SU ATENCIÓN_x000a_GESTIÓN_x000a_SDE-UCC-05771-25_x000a_Se da respuesta con oficio AEEH/DG/660/2025, de fecha 30-julio-25, enviado a Ing. Octavio Gómez Paulín"/>
    <x v="1"/>
    <x v="5"/>
    <x v="40"/>
    <m/>
    <n v="10"/>
    <m/>
    <s v="CENTRO ORIENTE"/>
  </r>
  <r>
    <n v="171"/>
    <s v="535"/>
    <s v="JULIO"/>
    <d v="2025-07-03T00:00:00"/>
    <s v="SEDECO/CGI/TI/0728/2025_x000a_SDG/DGAP/5214/2025"/>
    <s v="_x000a_2*1S.1/01-2025 exp.118"/>
    <s v="Solicita se de atención a la  C. Adelina López Trejo, del Mpio., de Tula de Allende, solicita electrificación y alumbrado Público en la Col. 2da. Ampliación la Redonda, Col. 16 de enero,      en dicho lugar._x000a_Ampliación de red eléctrica"/>
    <s v="ING. FRANCISCO"/>
    <d v="2025-07-07T00:00:00"/>
    <s v="SI"/>
    <s v="PARA SU ATENCIÓN_x000a_GESTIÓN_x000a_SDE-UCC-05772-25_x000a_Se da respuesta con oficio AEEH/DG/661/2025, de fecha 30-julio-25, enviado a Ing. Octavio Gómez Paulín"/>
    <x v="1"/>
    <x v="5"/>
    <x v="40"/>
    <m/>
    <n v="1"/>
    <m/>
    <s v="CENTRO ORIENTE"/>
  </r>
  <r>
    <n v="172"/>
    <s v="545"/>
    <s v="JULIO"/>
    <d v="2025-07-08T00:00:00"/>
    <s v="CIRCULAR 032 _x000a_Oficio Circular No. SEDECO/CAyP/0916/2025_x000a_"/>
    <s v="Expediente_x000a_Programas-2025_x000a_2*1S.3/--2025"/>
    <s v="Solicita remita de forma impresa y digital la relación de los procedimientos de contratación mediante licitación pública, que este ente tiene a su cargo y que tiene programados y presupuestados para el ejercicio fiscal 2025."/>
    <s v="ARQ. ORLANDO"/>
    <d v="2025-07-08T00:00:00"/>
    <s v="SI"/>
    <s v="PARA SU ATENCIÓN_x000a_GESTIÓN_x000a_SDE-UCC-00560-25_x000a_SDE-AEEH-00286-25_x000a_Se da respuesta con oficio AEEH/DG/608/2025, del 17-julio-2025, enviado a Lic. Edgar Orlando Ángeles Pérez, Oficial Mayor"/>
    <x v="0"/>
    <x v="2"/>
    <x v="1"/>
    <m/>
    <n v="1"/>
    <m/>
    <m/>
  </r>
  <r>
    <n v="173"/>
    <s v="554"/>
    <s v="JULIO"/>
    <d v="2025-07-10T00:00:00"/>
    <s v="OM/DGCP/DCP/2971/2025"/>
    <s v="Expediente_x000a_Programas-2025_x000a_2*1S.3/--2025"/>
    <s v="En seguimiento al procedimiento de Licitación  Pública  Nacional número EA-903003989-N232-2025, correspondiente a la requisición 456/2025, solicita que una ves que cuente con el contrato formalizado y con la documentación comprobatoria del cumplimiento de este, sea remitida de manera inmediata a esa Dir. General en apego a la normatividad en materia de transparencia."/>
    <s v="ARQ. ORLANDO"/>
    <d v="2025-07-11T00:00:00"/>
    <s v="SI"/>
    <s v="Atendido "/>
    <x v="0"/>
    <x v="2"/>
    <x v="1"/>
    <m/>
    <n v="1"/>
    <m/>
    <m/>
  </r>
  <r>
    <n v="174"/>
    <s v="559"/>
    <s v="JULIO"/>
    <d v="2025-07-11T00:00:00"/>
    <s v="DGCP/0768/2025"/>
    <s v="Expediente_x000a_Programas-2025_x000a_2*1S.3/--2025"/>
    <s v="Envía respuesta del oficio AEEH/DG/556/2025, mediante el cual solicita diversa documentación de los procedimientos de adjudicación señalados en el mismo. "/>
    <s v="ARQ. ORLANDO"/>
    <d v="2025-07-11T00:00:00"/>
    <s v="SI"/>
    <s v="Atendido "/>
    <x v="0"/>
    <x v="2"/>
    <x v="1"/>
    <m/>
    <n v="1"/>
    <m/>
    <m/>
  </r>
  <r>
    <n v="175"/>
    <s v="592"/>
    <s v="JULIO"/>
    <d v="2025-07-25T00:00:00"/>
    <s v="SEDECO/CGI/TI/0774/2025_x000a_SDG/DGAP/5294/2025"/>
    <s v="Diego"/>
    <s v="Solicita se le de atención al C. Tomás Trejo Trejo, Saúl Ramírez Ramírez, Juan Cruz Ramírez y José Guadalupe Rodríguez Trejo, ejidatarios de los ejidos &quot;Banzhá, Rito y Aljibe, mpio. de Tecozautla, quienes solicitan respaldo institucional en la validación del acta de anuencia expedida por CFE, que tiene como propósito autorizar un volumen de agua proviniente de la presa hidroeléctrica Zimapan. "/>
    <s v="ARQ. ORLANDO_x000a_ARQ. DIEGO"/>
    <d v="2025-07-31T00:00:00"/>
    <s v="SI"/>
    <s v="PARA SU ATENCIÓN_x000a_GESTIÓN_x000a_SDE-UCC-05798-25_x000a_Se da respuesta con oficio AEEH/DG/693/2025, de fecha 08-agosto-25, enviado a Ing. Octavio Gómez Paulín"/>
    <x v="1"/>
    <x v="9"/>
    <x v="50"/>
    <s v="Ejidos: Banzhá, Rito y Aljibe"/>
    <n v="4"/>
    <m/>
    <s v="DIVISION BAJIO"/>
  </r>
  <r>
    <n v="176"/>
    <s v="593"/>
    <s v="JULIO"/>
    <d v="2025-07-25T00:00:00"/>
    <s v="SEDECO/CGI/TI/0773/2025_x000a_SDG/DGAP/5276/2025"/>
    <s v="Ing. García"/>
    <s v="Solicita se le de atención al C. J. Refugio Baleriano Mendoza Canales, mpio. de Mineral de la Reforma, solicita mediación ante CFE, quien solicita se lleve a cabo la colocación de 3 tapaderas en registros que estan abiertos, en la comunidad de San José Palma Gorda"/>
    <s v="ING. FRANCISCO"/>
    <d v="2025-07-31T00:00:00"/>
    <s v="SI"/>
    <s v="PARA SU ATENCIÓN_x000a_GESTIÓN_x000a_SDE-UCC-05797-25_x000a_Se da respuesta con oficio AEEH/DG/764/2025, de fecha 22-agosto-25, enviado a Ing. Octavio Gómez Paulín"/>
    <x v="1"/>
    <x v="8"/>
    <x v="14"/>
    <s v="San José Palma Gorda"/>
    <n v="4"/>
    <m/>
    <s v="CENTRO ORIENTE"/>
  </r>
  <r>
    <n v="177"/>
    <s v="594"/>
    <s v="JULIO"/>
    <d v="2025-07-25T00:00:00"/>
    <s v="SEDECO/CGI/TI/0777/2025_x000a_SDG/DGAP/5879/2025"/>
    <s v="Ing. García"/>
    <s v="Solicita se le de atención al C. David Trejo Alvarado, de mpio. de Tecozautla, comunidad de Banzha,  solicita apoyo con la donación de paneles solares para un establecimiento (Restaurante) que quieren emprender, ya que no cuentan con servicio de energía eléctrica."/>
    <s v="ING. FRANCISCO"/>
    <d v="2025-07-31T00:00:00"/>
    <s v="SI"/>
    <s v="PARA SU ATENCIÓN_x000a_GESTIÓN_x000a_SDE-UCC-05880-25_x000a_Se da respuesta con oficio AEEH/DG/765/2025, de fecha 22/agosto/25, enviado a Ing. Octavio Gómez Paulín"/>
    <x v="1"/>
    <x v="13"/>
    <x v="50"/>
    <s v="Banzha"/>
    <n v="1"/>
    <m/>
    <s v="DIVISION BAJIO"/>
  </r>
  <r>
    <n v="178"/>
    <s v="595"/>
    <s v="JULIO"/>
    <d v="2025-07-25T00:00:00"/>
    <s v="SEDECO/CGI/TI/0781/2025_x000a_SDG/DGAP/5979/2025"/>
    <s v="Ing. García"/>
    <s v="Solicita se le de atención a la C. Miriam Janeth Morán Morán, del mpio de Tecozautla, solicita mediación con CFE para llevar a cabo ampliación de red eléctrica en la Localidad de &quot;Rancho Viejo&quot;, en dicho lugar."/>
    <s v="ING. FRANCISCO"/>
    <d v="2025-07-31T00:00:00"/>
    <s v="SI"/>
    <s v="PARA SU ATENCIÓN_x000a_GESTIÓN_x000a_SDE-UCC-05881-25_x000a_Se da respuesta con oficio AEEH/DG/766/2025, de fecha 22/agosto/25, enviado a Ing. Octavio Gómez Paulín"/>
    <x v="1"/>
    <x v="3"/>
    <x v="50"/>
    <s v="Rancho Viejo"/>
    <n v="1"/>
    <m/>
    <s v="DIVISION BAJIO"/>
  </r>
  <r>
    <n v="179"/>
    <s v="598"/>
    <s v="JULIO"/>
    <d v="2025-07-28T00:00:00"/>
    <s v="SEDECO/CGI/TI/0782/2025_x000a_SDG/DGAP/6011/2025"/>
    <s v="Ing. García"/>
    <s v="Solicita se le de atención al C. Luis Nava Falcón, mpio. de Chapantongo, solicita ampliación de red eléctrica en la comunidad de Tenería, en dicho lugar."/>
    <s v="ING. FRANCISCO"/>
    <d v="2025-08-01T00:00:00"/>
    <s v="SI"/>
    <s v="PARA SU ATENCIÓN_x000a_GESTIÓN_x000a_SDE-UCC-05884-25_x000a_Se da respuesta con oficio AEEH/DG/767/2025, de fecha 22/agosto/25, enviado a Ing. Octavio Gómez Paulín"/>
    <x v="1"/>
    <x v="3"/>
    <x v="43"/>
    <s v="Tenería"/>
    <n v="1"/>
    <m/>
    <s v="CENTRO ORIENTE"/>
  </r>
  <r>
    <n v="180"/>
    <s v="599"/>
    <s v="JULIO"/>
    <d v="2025-07-28T00:00:00"/>
    <s v="SEDECO/CGI/TI/0787/2025_x000a_SDG/DGAP/5934/2025"/>
    <s v="Ing. García"/>
    <s v="Solicita se le de atención a la C. María Eugenia Bravo Martínez, del mpio de Tecozautla, solicita apoyo con la instalación de alumbrado en la entrada principal del balneario &quot;Agua Linda&quot;, en la comunidad de Rancho Viejo, de dicho lugar."/>
    <s v="ING. FRANCISCO"/>
    <d v="2025-08-01T00:00:00"/>
    <s v="SI"/>
    <s v="PARA SU ATENCIÓN_x000a_GESTIÓN_x000a_SDE-UCC-05886-25_x000a_Se da respuesta con oficio AEEH/DG/768/2025, de fecha 22/agosto/25, enviado a Ing. Octavio Gómez Paulín"/>
    <x v="1"/>
    <x v="3"/>
    <x v="50"/>
    <s v="Rancho Viejo"/>
    <n v="1"/>
    <m/>
    <s v="DIVISION BAJIO"/>
  </r>
  <r>
    <n v="181"/>
    <s v="562"/>
    <s v="JULIO"/>
    <d v="2025-07-11T00:00:00"/>
    <s v="SPTE.200.242.2025"/>
    <m/>
    <s v="Convocatoria por la Secretaría de Planeacion y Transición Energética para participar en el Foro Abierto de Hidrogeno Verde a traves de una encuesta adjunta al oficio."/>
    <s v="ARQ. ORLANDO"/>
    <d v="2025-07-14T00:00:00"/>
    <s v="SI"/>
    <s v="Atendido "/>
    <x v="0"/>
    <x v="0"/>
    <x v="1"/>
    <m/>
    <n v="1"/>
    <m/>
    <m/>
  </r>
  <r>
    <n v="182"/>
    <s v="601"/>
    <s v="JULIO"/>
    <d v="2025-07-28T00:00:00"/>
    <s v="SEDECO/SIyES/TI/114/2025"/>
    <s v="2*1S/01-2025_x000a_"/>
    <s v="Envía oficio PMAT/0794/20255, signado por la Pta. Mpal. de Atotonilco de Tula, relacionado con el estado que guarda el punto de acuerdo respecto a la reconexión de servicios de alumbrado público del desarrollo industrial Quma de Hidalgo, situado dentro de dicho municipio."/>
    <s v="ARQ. DIEGO"/>
    <d v="2025-07-28T00:00:00"/>
    <s v="SI"/>
    <s v="Se llevó a cabo reunión el día 30 de julio-2025, con CFE, Zona Distribución Tula, para revisar el estado que guarda el Desarrollo Industrial QUMA de Hidalgo, en coordinación con representantes de QUMA, Ayuntamiento de Atotonilco de Tula, la SEGOB Tula, consultores del Ayuntamiento y la AEEH."/>
    <x v="0"/>
    <x v="5"/>
    <x v="51"/>
    <m/>
    <n v="1"/>
    <m/>
    <m/>
  </r>
  <r>
    <n v="183"/>
    <s v="617"/>
    <s v="JULIO"/>
    <d v="2025-07-31T00:00:00"/>
    <s v="SEDECO/CGI/TI/0791/2025_x000a_SDG/DGAP/6219/2025"/>
    <s v="Ing. García"/>
    <s v="Solicita se le de atención a los C. Marino Hdez. Antonio, Severo Felix Antonio, Fernando Hdez. Cruz y Bruno Antonio Natalia, autoridades ejidales de la localidad Xalcuatla, Mpio. de Lolotla, solicitan ampliación de red eléctrica para dicho lugar"/>
    <s v="ING. FRANCISCO"/>
    <d v="2025-08-06T00:00:00"/>
    <s v="SI"/>
    <s v="PARA SU ATENCIÓN_x000a_GESTIÓN_x000a_SDE-UCC-05970-25Se da respuesta con oficio AEEH/DG/792/2025, de fecha 27/agosto/25, enviado a Ing. Octavio Gómez Paulín"/>
    <x v="1"/>
    <x v="3"/>
    <x v="52"/>
    <s v="Xalcuatla"/>
    <n v="4"/>
    <m/>
    <s v="GOLFO CENTRO"/>
  </r>
  <r>
    <n v="184"/>
    <s v="618"/>
    <s v="JULIO"/>
    <d v="2025-07-31T00:00:00"/>
    <s v="SEDECO/CGI/TI/0792/2025_x000a_SDG/DGAP/6252/2025"/>
    <s v="Ing. García"/>
    <s v="Solicita se le de atención al C. Ángel Romero, del mpio. de Molango, quien solicita intevención ante CFE , para contar con servicio de energía eléctrica en su domicilio ubicado en la comunidad de Achocoatlan."/>
    <s v="ING. FRANCISCO"/>
    <d v="2025-08-06T00:00:00"/>
    <s v="SI"/>
    <s v="PARA SU ATENCIÓN_x000a_GESTIÓN_x000a_SDE-UCC-05963-25_x000a_Se da respuesta con oficio AEEH/DG/788/2025, de fecha 27/agosto/25, enviado a Ing. Octavio Gómez Paulín"/>
    <x v="1"/>
    <x v="3"/>
    <x v="53"/>
    <s v=" Achocoatlán"/>
    <n v="1"/>
    <m/>
    <s v="GOLFO CENTRO"/>
  </r>
  <r>
    <n v="185"/>
    <s v="619"/>
    <s v="JULIO"/>
    <d v="2025-07-31T00:00:00"/>
    <s v="SEDECO/CGI/TI/0797/2025_x000a_SDG/DGAP/6288/2025"/>
    <s v="Ing. García"/>
    <s v="Solicita se le de atención a la C. María Luisa Engracia Islas Islas, del mpio. de Almoloya, quien solicita intevención ante CFE  para la reubicación de un poste de luz que se ubica en malas condicones y que se encuentra en la Av. principal col. centro, entre las calles chopo y Ernesto Viveros No. 2."/>
    <s v="ING. FRANCISCO"/>
    <d v="2025-08-06T00:00:00"/>
    <s v="SI"/>
    <s v="PARA SU ATENCIÓN_x000a_GESTIÓN_x000a_SDE-UCC-05978-25_x000a_Se da respuesta con oficio AEEH/DG/787/2025, de fecha 27-agosto-25, enviado a Ing. Sergio Gutiérrez Glez, Superintendente CFE Tulancingo"/>
    <x v="1"/>
    <x v="10"/>
    <x v="6"/>
    <s v="Av. Principal, Col. Centro"/>
    <n v="1"/>
    <m/>
    <s v="CENTRO ORIENTE"/>
  </r>
  <r>
    <n v="186"/>
    <s v="620"/>
    <s v="JULIO"/>
    <d v="2025-07-31T00:00:00"/>
    <s v="SEDECO/CGI/TI/0808/2025_x000a_SDG/DGAP/6328/2025"/>
    <s v="Ing. García"/>
    <s v="Solicita se de atención al C. Nicolas Hernández Morales, de la comunidad de Ixtlapalco, Mpio. de Tepehuacán de Guerrero, quien solicita intervención ante CFE para una revisión al sistema eléctrico entre Tepehuacan y Chapulhuacan."/>
    <s v="ING. FRANCISCO"/>
    <d v="2025-08-06T00:00:00"/>
    <s v="SI"/>
    <s v="PARA SU ATENCIÓN_x000a_GESTIÓN_x000a_SDE-UCC-05988-25_x000a_Se da respuesta con oficio AEEH/DG/789/2025, de fecha 27/agosto/25, enviado a Ing. Octavio Gómez Paulín"/>
    <x v="1"/>
    <x v="8"/>
    <x v="54"/>
    <s v=" Ixtlapalaco"/>
    <n v="1"/>
    <m/>
    <s v="GOLFO CENTRO"/>
  </r>
  <r>
    <n v="187"/>
    <s v="621"/>
    <s v="JULIO"/>
    <d v="2025-07-31T00:00:00"/>
    <s v="SEDECO/CGI/TI/0809/2025_x000a_SDG/DGAP/6390/2025"/>
    <s v="Ing. García"/>
    <s v="Solicita se de atención al C. Fermín Cisneros Cisneros, del Mpio. de Calnalí, quien solicita mediación ante CFE, para la  terminación de la ampliación de red eléctrica en la Localidad de Pezmatlán._x000a_Seguimiento al turno 294"/>
    <s v="ING. FRANCISCO"/>
    <d v="2025-08-06T00:00:00"/>
    <s v="SI"/>
    <s v="PARA SU ATENCIÓN_x000a_GESTIÓN_x000a_SDE-UCC-05994-25_x000a_Se da respuesta con oficio AEEH/DG/790/2025, de fecha 27/agosto/25, enviado a Ing. Octavio Gómez Paulín"/>
    <x v="1"/>
    <x v="3"/>
    <x v="11"/>
    <s v="Pezmatlán"/>
    <n v="1"/>
    <m/>
    <s v="GOLFO CENTRO"/>
  </r>
  <r>
    <n v="188"/>
    <s v="622"/>
    <s v="JULIO"/>
    <d v="2025-07-31T00:00:00"/>
    <s v="SEDECO/CGI/TI/0809/2025_x000a_SDG/DGAP/6329/2025"/>
    <s v="Ing. García"/>
    <s v="Solicita se de atención al C. Hilario Hernández Ángeles, del Mpio. De Tepehuacán de Guerrero, quien solicita mediación ante CFE, para la ampliación de red eléctrica en la Localidad de San Miguel Ayotempa, de dicho lugar."/>
    <s v="ING. FRANCISCO"/>
    <d v="2025-08-06T00:00:00"/>
    <s v="SI"/>
    <s v="PARA SU ATENCIÓN_x000a_GESTIÓN_x000a_SDE-UCC-05989-25_x000a_Se da respuesta con oficio AEEH/DG/791/2025, de fecha 27/agosto/25, enviado a Ing. Octavio Gómez Paulín"/>
    <x v="1"/>
    <x v="3"/>
    <x v="54"/>
    <s v="San Miguel Ayotempa"/>
    <n v="1"/>
    <m/>
    <s v="GOLFO CENTRO"/>
  </r>
  <r>
    <n v="189"/>
    <s v="628"/>
    <s v="AGOSTO"/>
    <d v="2025-08-01T00:00:00"/>
    <s v="S/N"/>
    <m/>
    <s v="Lic. Catalina Méndez Ramírez, administradora de la Empresa JR Ingeniería Eléctrica, solicita una reunión con esta AEEH, para presentar un proyecto estratégico orientado al aprovechamiento eficiente de recursos energéticos en el estado."/>
    <s v="ARQ. ORLANDO"/>
    <d v="2025-08-11T00:00:00"/>
    <s v="SI"/>
    <s v="Se llevo a cabo una reunión el día 06 de octubre en las oficinas de la AEEH, se entregó un reporte de actividades (Archivado en el expediente AEEH-2*1S/01-2025 Reportes de Actividades)"/>
    <x v="0"/>
    <x v="2"/>
    <x v="1"/>
    <m/>
    <n v="1"/>
    <m/>
    <m/>
  </r>
  <r>
    <n v="190"/>
    <s v="632"/>
    <s v="AGOSTO"/>
    <d v="2025-08-06T00:00:00"/>
    <s v="SEDECO/CGI/TI/0829/2025_x000a_SDG/DGAP/6518/2025"/>
    <m/>
    <s v="Solicita se de atención al C. Zenobio Hernández  Hernández , del Mpio. de Calnali, quien solicita mediación ante CFE, para llevar a cabo la instalación de un transformador de luz en la Localidad de Atempa, en dicho lugar."/>
    <s v="ING. FRANCISCO"/>
    <d v="2025-08-11T00:00:00"/>
    <s v="SI"/>
    <s v="PARA SU ATENCIÓN_x000a_GESTIÓN_x000a_SDE-UCC-06035-25_x000a_Se da respuesta con oficio AEEH/DG/834/2025 del 11 de septiembre "/>
    <x v="1"/>
    <x v="8"/>
    <x v="11"/>
    <s v="Atempa"/>
    <n v="1"/>
    <m/>
    <s v="GOLFO CENTRO"/>
  </r>
  <r>
    <n v="191"/>
    <s v="637"/>
    <s v="AGOSTO"/>
    <d v="2025-08-08T00:00:00"/>
    <s v="SEDECO/CGI/TI/0832/2025_x000a_SDG/DGAP/6565/2025"/>
    <m/>
    <s v="Solicita se de atención a la C. Gloria Elena Josefina Herrera Carpio, del Mpio. de Zempoala, quien solicita mediación ante CFE, para llevar a cabo la electrificación en su domicilio ubicado en la Colonia Santa Cruz."/>
    <s v="ING. FRANCISCO"/>
    <d v="2025-08-13T00:00:00"/>
    <s v="SI"/>
    <s v="PARA SU ATENCIÓN_x000a_GESTIÓN_x000a_SDE-UCC-06055-25_x000a_Se da respuesta con oficio AEEH/DG/835/2025 del 11 de septiembre, enviado al Ing. Octavio Gómez Paulin"/>
    <x v="1"/>
    <x v="3"/>
    <x v="35"/>
    <s v="Col. Santa Cruz"/>
    <n v="1"/>
    <m/>
    <s v="CENTRO ORIENTE"/>
  </r>
  <r>
    <n v="192"/>
    <s v="651"/>
    <s v="AGOSTO"/>
    <d v="2025-08-11T00:00:00"/>
    <s v="Convocatoria a Curso"/>
    <m/>
    <s v="En el marco del programa de Cooperación de Singapur (SCP)_x000a_La Secretaría de Relaciones Exteriores, envía convocatoria a curso presencial Renewable Energy: Low Carbón Transitión del 3 al 7 de nov. de 2025, en ese País."/>
    <s v="ARQ. ORLANDO"/>
    <d v="2024-08-13T00:00:00"/>
    <s v="SI"/>
    <s v="Atendido "/>
    <x v="0"/>
    <x v="0"/>
    <x v="24"/>
    <m/>
    <n v="1"/>
    <m/>
    <m/>
  </r>
  <r>
    <n v="193"/>
    <s v="655"/>
    <s v="AGOSTO"/>
    <d v="2025-08-08T00:00:00"/>
    <s v="UPLAPH/COEMERE/160/2025"/>
    <s v="2*1S/10-2025"/>
    <s v="Solicita el informe sobre los avances en el cumplimiento del programa anual de Mejora Regulatoria (PAMR) 2025"/>
    <s v="ING. FRANCISCO"/>
    <d v="2025-08-14T00:00:00"/>
    <s v="SI"/>
    <s v="Se envía respuesta con oficio AEEH-DG-737-2025, con la información solicitada"/>
    <x v="0"/>
    <x v="2"/>
    <x v="1"/>
    <m/>
    <n v="1"/>
    <m/>
    <m/>
  </r>
  <r>
    <n v="194"/>
    <s v="656"/>
    <s v="AGOSTO"/>
    <d v="2025-08-12T00:00:00"/>
    <s v="S/N"/>
    <m/>
    <s v="La C. Juliana Romero Alemán, Gestora Social del Estado de México, solicita apoyo para ingresar los proyectos de electrificación para las colonias Monarca y Santa Martha, del Mpio. Dde Tizayuca, al programa del Fondo de Servicio Universal Eléctrico (FUSUE)"/>
    <s v="ING. FRANCISCO"/>
    <d v="2025-08-14T00:00:00"/>
    <s v="SI"/>
    <s v="Atendido "/>
    <x v="1"/>
    <x v="3"/>
    <x v="12"/>
    <s v="Col. Monarca y Santa Martha"/>
    <n v="1"/>
    <m/>
    <s v="CENTRO ORIENTE"/>
  </r>
  <r>
    <n v="195"/>
    <s v="660"/>
    <s v="AGOSTO"/>
    <d v="2025-08-15T00:00:00"/>
    <s v="SEDECO/CGI/TI/0867/2025_x000a_SDG/DGAP/6880/2025"/>
    <m/>
    <s v="Solicita se de atención al C. Raúl Villagómez López del Mpio. De Pachuca, quien solicita mediación ante CFE, para una problemática con el alto consumo de energía en su vivienda, ubicada en calle galeana 809 3, Barrio el Arbolito,  esto desde que se llevo a cabo un cambio de medidores en dicho lugar y su arrendador no le da solución."/>
    <s v="ING. FRANCISCO"/>
    <d v="2025-08-18T00:00:00"/>
    <s v="SI"/>
    <s v="PARA SU ATENCIÓN_x000a_GESTIÓN_x000a_SDE-UCC-06114-25_x000a_Se da respuesta con oficio AEEH/DG/841/2025 de fecha 18 de septiembre, enviado al Ing. Octavio Gómez Paulin "/>
    <x v="1"/>
    <x v="1"/>
    <x v="1"/>
    <s v="El Árbolito"/>
    <n v="1"/>
    <m/>
    <s v="CENTRO ORIENTE"/>
  </r>
  <r>
    <n v="196"/>
    <s v="661"/>
    <s v="AGOSTO"/>
    <d v="2025-08-15T00:00:00"/>
    <s v="RNP-283-2025"/>
    <s v="Ing. García"/>
    <s v="Respuesta al oficio AEEH/dg/663/2025, de fecha 30-julio-25, relacionado con el sevicio de energía eléctrica en la localidad de Arroyo Hondo, mpio. De San Agustín Metzquititlán."/>
    <s v="ING. FRANCISCO"/>
    <d v="2025-08-18T00:00:00"/>
    <s v="SI"/>
    <s v="Para conocimiento"/>
    <x v="0"/>
    <x v="6"/>
    <x v="47"/>
    <s v="Arroyo Hondo"/>
    <n v="1"/>
    <m/>
    <m/>
  </r>
  <r>
    <n v="197"/>
    <s v="671"/>
    <s v="AGOSTO"/>
    <d v="2025-08-19T00:00:00"/>
    <s v="SEDECO/CGI/TI/0890/2025_x000a_SDG/DGAP/6936/2025"/>
    <m/>
    <s v="Solicita se de atención a los C. David Monroy Meneses, Anel Meneses León, Zury Sarahí González Gómez y Leonel Meneses Meneses, Delegados de la comuniad de Jagüey de Téllez, Mpio. de Zempoala, quienes solicitan mediación ante CFE, para la reparación e instalación de alumbrado público en el Boulevard Tellez."/>
    <s v="ING. FRANCISCO"/>
    <d v="2025-08-25T00:00:00"/>
    <s v="SI"/>
    <s v="PARA SU ATENCIÓN_x000a_GESTIÓN_x000a_SDE-UCC-06141-25_x000a_Se da respuesta con oficio AEEH/DG/842/2025 de fecha 18 de septiembre, enviado al Ing. Octavio Gómez Paulin"/>
    <x v="1"/>
    <x v="5"/>
    <x v="35"/>
    <s v="Jagüey de Téllez"/>
    <n v="4"/>
    <m/>
    <s v="CENTRO ORIENTE"/>
  </r>
  <r>
    <n v="198"/>
    <s v="672"/>
    <s v="AGOSTO"/>
    <d v="2025-08-19T00:00:00"/>
    <s v="UPLAPH/COEMERE/168/2025"/>
    <m/>
    <s v="Informa que se encuentra habilitado el apartado correspondiente a &quot;ENLACES&quot; en la herramienta digital denominada AID-RUTS., Por lo anterior solicita que a mas tardar el 25 -agosto-25, se realice la designación y/o captura de los enlaces del Sujeto Obligado y que deberá contar con diversas figuras y funciones."/>
    <s v="ING. FRANCISCO"/>
    <d v="2025-08-20T00:00:00"/>
    <s v="SI"/>
    <s v="Se designa al Arq. Orlando Martinez Juarez como enlace"/>
    <x v="0"/>
    <x v="2"/>
    <x v="1"/>
    <m/>
    <n v="1"/>
    <m/>
    <m/>
  </r>
  <r>
    <n v="199"/>
    <s v="673"/>
    <s v="AGOSTO"/>
    <d v="2025-08-19T00:00:00"/>
    <s v="S/N"/>
    <m/>
    <s v="El C. Carmelo Santillan Tolentino, solicita la instalación de una Torre o  Antena de CFE - TEIT, para el servicio de telefonía celular, en la Localidad de San Sebastian, mpio. de Huehuetla_x000a_Seguimiento al Turno-140"/>
    <s v="ARQ. DIEGO"/>
    <d v="2025-08-25T00:00:00"/>
    <s v="SI"/>
    <s v="Se envia correo electronico el dia 8 de octubre a CFE para su seguimiento, quedando en espera de la respuesta"/>
    <x v="1"/>
    <x v="11"/>
    <x v="18"/>
    <s v="San Sebastián "/>
    <n v="1"/>
    <m/>
    <s v="GOLFO CENTRO"/>
  </r>
  <r>
    <n v="200"/>
    <s v="675"/>
    <s v="AGOSTO"/>
    <d v="2025-08-20T00:00:00"/>
    <s v="SEDECO/CGI/TI/0907/2025_x000a_SDG/DGAP/7050/2025"/>
    <m/>
    <s v="Solicita se de atención a la C. Juana Escalona Martínez, del Mpio. de Tizayuca, quien solicita mediación ante CFE, para llevar a cabo la reparación e instalación de una tapa de metal de la banqueta y que resguarda los cables de energía eléctrica en Av. México, acceso a Huitzila, con el fin de evitar el robo de los mismos."/>
    <s v="ING. FRANCISCO"/>
    <d v="2025-08-25T00:00:00"/>
    <s v="SI"/>
    <s v="PARA SU ATENCIÓN_x000a_GESTIÓN_x000a_SDE-UCC-06191-25_x000a_Se da respuesta con AEEH/DG/844/2025 de fecha 18 de septiembre, enviado al Ing. Octavio Gómez Paulin"/>
    <x v="1"/>
    <x v="6"/>
    <x v="12"/>
    <s v="Huitzila"/>
    <n v="1"/>
    <m/>
    <s v="CENTRO ORIENTE"/>
  </r>
  <r>
    <n v="201"/>
    <s v="677"/>
    <s v="AGOSTO"/>
    <d v="2025-08-20T00:00:00"/>
    <s v="SEDECO/CGI/TI/0918/2025_x000a_SDG/DGAP/7092/2025"/>
    <m/>
    <s v="Solicita se de atención a la C. María Antonieta Ángeles Sánchez, del Mpio. de Pachuca, quien solicita mediación ante CFE, para llevar a cabo una solución de adeudo de energía en su domicilio ubicado en C. Bambú #107, Col. Piracantos."/>
    <s v="ING. FRANCISCO"/>
    <d v="2025-08-25T00:00:00"/>
    <s v="SI"/>
    <s v="PARA SU ATENCIÓN_x000a_GESTIÓN_x000a_SDE-UCC-06226-25_x000a_Se da respuesta con oficio AEEH/DG/843/2025 de fecha 18 de septiembre, enviado al Ing. Octavio Gómez Paulin"/>
    <x v="1"/>
    <x v="1"/>
    <x v="1"/>
    <s v="Col. Piracantos"/>
    <n v="1"/>
    <m/>
    <s v="CENTRO ORIENTE"/>
  </r>
  <r>
    <n v="202"/>
    <s v="678"/>
    <s v="AGOSTO"/>
    <m/>
    <s v="SEDECO/CGI/TI/0919/2025_x000a_SDG/DGAP/7093/2025"/>
    <m/>
    <s v="Solicita se de atención al C. Pedro Armas Castillo, del Mpio. de Metztitlán, quien solicita mediación ante CFE, para llevar a cabo una solución de adeudo de energía en su domicilio particular."/>
    <s v="ING. FRANCISCO"/>
    <d v="2025-08-25T00:00:00"/>
    <s v="SI"/>
    <s v="PARA SU ATENCIÓN_x000a_GESTIÓN_x000a_SDE-UCC-06230-25_x000a_Se da respuesta con oficio AEEH/DG/867/2025 de fecha 30 de septiembre, enviado al Ing. Octavio Gomez Paulin"/>
    <x v="1"/>
    <x v="1"/>
    <x v="5"/>
    <s v="El Pedregal"/>
    <n v="1"/>
    <m/>
    <s v="GOLFO CENTRO"/>
  </r>
  <r>
    <n v="203"/>
    <s v="700"/>
    <s v="SEPTIEMBRE"/>
    <d v="2025-09-04T00:00:00"/>
    <s v="SGG-666-2025"/>
    <m/>
    <s v="En atención al oficio AEEH/DG/787/2025 CFE da atención a lo solicitado en cuanto al reemplazo de infraestructura electrica (postes)."/>
    <s v="ING. FRANCISCO"/>
    <d v="2025-09-09T00:00:00"/>
    <s v="SI"/>
    <s v="PARA SU ATENCIÓN _x000a_GESTIÓN _x000a_SDE-UCC-05886-25"/>
    <x v="0"/>
    <x v="8"/>
    <x v="13"/>
    <m/>
    <n v="1"/>
    <m/>
    <m/>
  </r>
  <r>
    <n v="204"/>
    <s v="705"/>
    <s v="SEPTIEMBRE"/>
    <d v="2025-09-05T00:00:00"/>
    <s v="S/N"/>
    <s v="2*1S/03-2025"/>
    <s v="Comunicado de la empresa SOELS COMPANY manifiesta su oficial separación de la consultoria EDUCAP Consultores."/>
    <s v="MARINA "/>
    <d v="2025-09-09T00:00:00"/>
    <s v="SI"/>
    <s v="DE CONOCIMIENTO"/>
    <x v="0"/>
    <x v="14"/>
    <x v="14"/>
    <s v="Pachuquilla"/>
    <m/>
    <m/>
    <m/>
  </r>
  <r>
    <n v="205"/>
    <s v="706"/>
    <s v="SEPTIEMBRE"/>
    <d v="2025-09-05T00:00:00"/>
    <s v="SEDECO/CGI/TI/0986/2025_x000a_SDG/DGAP/7494/2025_x000a_"/>
    <m/>
    <s v="Solicita se de atención al C. Tomas Robles Morales de Mineral del Monte, quien solicita la gestión de ampliación de infraestructura electrica al desarrollo Alborada."/>
    <s v="ING. FRANCISCO"/>
    <d v="2025-09-10T00:00:00"/>
    <s v="SI"/>
    <s v="PARA SU ATENCIÓN _x000a_GESTIÓN _x000a_SDE-UCC-06352-25_x000a_Se da respuesta con oficio AEEH/DG/886/2025 de fecha 07 de octubre, enviado al Ing, Octavio Gómez Paulin"/>
    <x v="1"/>
    <x v="3"/>
    <x v="10"/>
    <s v="Desarrollo Alborada"/>
    <n v="1"/>
    <m/>
    <s v="CENTRO ORIENTE"/>
  </r>
  <r>
    <n v="206"/>
    <s v="707"/>
    <s v="SEPTIEMBRE"/>
    <d v="2025-09-05T00:00:00"/>
    <s v="SEDECO/CGI/TI/0983/2025_x000a_SDG/DGAP/7425/2025"/>
    <m/>
    <s v="Solicita se de atención  al C. Daniel Alfonso Bautista de Tlanchinol para la ampliacion de red en la localidad de Santa Lucia"/>
    <s v="ING. FRANCISCO"/>
    <d v="2025-09-10T00:00:00"/>
    <s v="SI"/>
    <s v="PARA SU ATENCIÓN _x000a_GESTIÓN _x000a_SDE-UCC-06364-25_x000a_Se da respuesta con oficio AEEH/DG/882/2025 de fecha 07 de octubre, enviado al Ing, Octavio Gómez Paulin"/>
    <x v="1"/>
    <x v="3"/>
    <x v="55"/>
    <s v="Santa Lucia"/>
    <n v="1"/>
    <m/>
    <s v="GOLFO CENTRO"/>
  </r>
  <r>
    <n v="207"/>
    <s v="708"/>
    <s v="SEPTIEMBRE"/>
    <d v="2025-09-05T00:00:00"/>
    <s v="SEDECO/CGI/TI/0982/2025_x000a_SDG/DGAP/7410/2025"/>
    <m/>
    <s v="Solicita se de atención al C. Bonifacio del Angel Cueva de Huautla para ampliación de rede en la localidad Ahuehuetl."/>
    <s v="ING. FRANCISCO"/>
    <d v="2025-09-10T00:00:00"/>
    <s v="SI"/>
    <s v="PARA SU ATENCIÓN _x000a_GESTIÓN _x000a_SDE-UCC-06366-25_x000a_Se da respuesta con oficio AEEH/DG/885/2025 de fecha 07 de octubre, enviado al Ing, Octavio Gómez Paulin"/>
    <x v="1"/>
    <x v="3"/>
    <x v="4"/>
    <s v="Ahuehuetla"/>
    <n v="1"/>
    <m/>
    <s v="GOLFO CENTRO"/>
  </r>
  <r>
    <n v="208"/>
    <s v="709"/>
    <s v="SEPTIEMBRE"/>
    <d v="2025-09-09T00:00:00"/>
    <s v="SEDECO/CGI/TI/0991/2025"/>
    <m/>
    <s v="Reunión de trabajo proceso de Actualización del Programa de Ordenamiento de la Zona Metropolitana de Valle de Mexico en INDAABIN CDMX 10 sep, 10:00 hrs"/>
    <s v="ARQ. ORLANDO"/>
    <d v="2025-09-09T00:00:00"/>
    <s v="SI"/>
    <s v="Atendido "/>
    <x v="0"/>
    <x v="0"/>
    <x v="24"/>
    <m/>
    <n v="1"/>
    <m/>
    <m/>
  </r>
  <r>
    <n v="209"/>
    <s v="725"/>
    <s v="SEPTIEMBRE"/>
    <d v="2025-09-11T00:00:00"/>
    <s v="SEDECO/CGI/TI/1018/2025_x000a_SDG/DGAP/7582/2025"/>
    <m/>
    <s v="Solicita se de atención al C. Amadeo Hernandez Amaya de Tula de Allende quien solicita mediación con CFE para el cambio de un poste de luz."/>
    <s v="ING. FRANCISCO"/>
    <d v="2025-09-14T00:00:00"/>
    <s v="SI"/>
    <s v="PARA SU ATENCIÓN _x000a_GESTIÓN _x000a_SDE-UCC-06443-25_x000a_Se da respuesta con oficio AEEH/DG/883/2025 de fecha 07 de octubre, enviado al Ing, Octavio Gómez Paulin"/>
    <x v="1"/>
    <x v="10"/>
    <x v="40"/>
    <m/>
    <n v="1"/>
    <m/>
    <s v="CENTRO ORIENTE"/>
  </r>
  <r>
    <n v="210"/>
    <s v="726"/>
    <s v="SEPTIEMBRE"/>
    <d v="2025-09-11T00:00:00"/>
    <s v="SEDECO/CGI/TI/1022/2025"/>
    <m/>
    <s v="Solicita se de atención al C. Angel Alvarado Estrada de Tlahuelilpan, quien solicita una oportunidad laboral en la AEEH."/>
    <s v="ARQ. ORLANDO"/>
    <d v="2025-09-14T00:00:00"/>
    <s v="SI"/>
    <s v="DE CONOCIMIENTO"/>
    <x v="1"/>
    <x v="2"/>
    <x v="56"/>
    <m/>
    <n v="1"/>
    <m/>
    <s v="CENTRO ORIENTE"/>
  </r>
  <r>
    <n v="211"/>
    <s v="749"/>
    <s v="SEPTIEMBRE"/>
    <d v="2025-09-22T00:00:00"/>
    <s v="PLA-1-PAC-0371-2025"/>
    <m/>
    <s v="Respuesta de CFE referente a la solicitud de la C. Marisol Bautista Moreno para la reubicacion de un poste"/>
    <s v="ING. FRANCISCO"/>
    <d v="2025-09-23T00:00:00"/>
    <s v="SI"/>
    <s v="PARA SU GESTIÓN SDE-AEEH-00234-25"/>
    <x v="1"/>
    <x v="10"/>
    <x v="1"/>
    <m/>
    <n v="1"/>
    <m/>
    <s v="CENTRO ORIENTE"/>
  </r>
  <r>
    <n v="212"/>
    <s v="740"/>
    <s v="SEPTIEMBRE"/>
    <d v="2025-09-18T00:00:00"/>
    <s v="SEDECO-CGI-TI-1045-2025_x000a_SDG/DGAP/7830/2025"/>
    <m/>
    <s v="Solicita se de atencion a C. Sandra Luz Cruz Lopez de Mineral de la Reforma quien solicita instalacion de alumbrado publico en distintas privadas"/>
    <s v="ING. FRANCISCO"/>
    <d v="2025-09-23T00:00:00"/>
    <s v="SI"/>
    <s v="PARA SU ATENCIÓN _x000a_GESTIÓN _x000a_SDE-UCC-06505-25_x000a_Se da respuesta con oficio AEEH/DG/884/2025 de fecha 07 de octubre, enviado al Ing, Octavio Gómez Paulin"/>
    <x v="1"/>
    <x v="5"/>
    <x v="14"/>
    <m/>
    <n v="1"/>
    <m/>
    <s v="CENTRO ORIENTE"/>
  </r>
  <r>
    <n v="213"/>
    <s v="755"/>
    <s v="SEPTIEMBRE"/>
    <d v="2025-09-23T00:00:00"/>
    <s v="SEDECO-CGI-TI-1056-2025_x000a_SDG/DGAP/7853/2025"/>
    <m/>
    <s v="Solicita se de atencion a C. Carolina Zuñiga Garcia de Ixmiquilpan quien solicita apoyo para sistema fotovoltaico de 7,472 kWh bimestrales, en la Reforma Ixmiquilpan"/>
    <s v=" ING. SANDRA"/>
    <d v="2025-09-24T00:00:00"/>
    <s v="SI"/>
    <s v="PARA SU ATENCIÓN _x000a_GESTIÓN _x000a_SDE-UCC-06531-25_x000a_Se da respuesta con oficio AEEH/DG/1025/2025 de fecha 02 de diciembre, enviado al Ing, Octavio Gómez Paulin"/>
    <x v="1"/>
    <x v="12"/>
    <x v="30"/>
    <s v="La Reforma"/>
    <n v="1"/>
    <m/>
    <s v="DIVISION BAJIO"/>
  </r>
  <r>
    <n v="214"/>
    <s v="756"/>
    <s v="SEPTIEMBRE"/>
    <d v="2025-09-23T00:00:00"/>
    <s v="SEDECO-CGI-TI-1055-2025_x000a_SDG/DGAP/7851/2025"/>
    <m/>
    <s v="Solicita se de atencion a C. Carolina Garcia de Ixmiquilpan quien solicita apoyo de infraestructura y equipamiento del sistema interconectado ¨Pozo la Reforma¨ en Barrio la Reforma"/>
    <s v=" ING. SANDRA"/>
    <d v="2025-09-24T00:00:00"/>
    <s v="SI"/>
    <s v="PARA SU ATENCIÓN _x000a_GESTIÓN _x000a_SDE-UCC-06530-25_x000a_Se da respuesta con oficio AEEH/DG/1024/2025 de fecha 02 de diciembre, enviado al Ing, Octavio Gómez Paulin"/>
    <x v="1"/>
    <x v="12"/>
    <x v="30"/>
    <s v="La Reforma"/>
    <n v="1"/>
    <m/>
    <s v="DIVISION BAJIO"/>
  </r>
  <r>
    <n v="215"/>
    <s v="759"/>
    <s v="SEPTIEMBRE"/>
    <d v="2025-09-24T00:00:00"/>
    <s v="SEDECO/DJ/389/2025"/>
    <m/>
    <s v="Solicitud de las acciones implementadas para dar cumplimiento al exhorto del oficio CP2R1A-2138.12 de la Secretaria de la Directiva del H. Congreso de la Union sobre la implementacion de programas que fomenten el ahorro energetico."/>
    <s v="ING. FRANCISCO"/>
    <d v="2025-10-01T00:00:00"/>
    <s v="SI"/>
    <s v="RESPUESTA CON OFICIO AEEH-DG-880-2025"/>
    <x v="0"/>
    <x v="2"/>
    <x v="1"/>
    <m/>
    <n v="1"/>
    <m/>
    <m/>
  </r>
  <r>
    <n v="216"/>
    <s v="769"/>
    <s v="SEPTIEMBRE"/>
    <d v="2025-09-29T00:00:00"/>
    <s v="SEDECO/CGI/TI/1078/2025_x000a_SDG/DGAP/8176/2025"/>
    <m/>
    <s v="Solicitud del C. Alfonso Herrera Paredes del municipio de Tepeji del Rio para llevar red electrica en beneficio de la localidad Lomas de la Cantera"/>
    <s v="ING. FRANCISCO"/>
    <d v="2025-10-02T00:00:00"/>
    <s v="SI"/>
    <s v="PARA SU ATENCIÓN _x000a_GESTIÓN _x000a_SDE-UCC-06563-25_x000a_Se da respuesta con oficio AEEH/DG/932/2025 de fecha 24 de octubre enviado al Ing, Octavio Gómez Paulin"/>
    <x v="1"/>
    <x v="3"/>
    <x v="49"/>
    <s v="Lomas de la Cantera"/>
    <n v="1"/>
    <m/>
    <s v="CENTRO ORIENTE"/>
  </r>
  <r>
    <n v="217"/>
    <s v="776"/>
    <s v="OCTUBRE"/>
    <d v="2025-10-02T00:00:00"/>
    <s v="SEDECO/CGI/TI/1114/2025_x000a_SDG/DGAP/8610/2025"/>
    <m/>
    <s v="Solicita se de atencion al C. Martin Hernandez Hernandez de Huejutla de Reyes para ampliacion de red electrica en Barrio Malila Comunidad Acuapa"/>
    <s v="ING. FRANCISCO"/>
    <d v="2025-10-06T00:00:00"/>
    <s v="SI"/>
    <s v="PARA SU ATENCIÓN _x000a_GESTIÓN _x000a_SDE-UCC-06629-25_x000a_Se da respuesta con oficio AEEH/DG/910/2025 de fecha 15 de octubre enviado al Ing, Octavio Gómez Paulin"/>
    <x v="1"/>
    <x v="3"/>
    <x v="27"/>
    <s v="Acuapa"/>
    <n v="1"/>
    <m/>
    <s v="GOLFO CENTRO"/>
  </r>
  <r>
    <n v="218"/>
    <s v="780"/>
    <s v="OCTUBRE"/>
    <d v="2025-10-03T00:00:00"/>
    <s v="SEDECO/CGI/TI/1121/2025_x000a_SDG/DGAP/8657/2025"/>
    <m/>
    <s v="Solicita se de atencion al C. Rosalio Mendoza Perez de San Salvador para el seguimiento de la obra de alumbrado publico en la comunidad Lagunilla"/>
    <s v="ING. FRANCISCO"/>
    <d v="2025-10-06T00:00:00"/>
    <s v="SI"/>
    <s v="PARA SU ATENCIÓN_x000a_GESTIÓN_x000a_SDE-UCC-06631-25_x000a_SE DA RESPUESTA CON OFICIO AEEG/DG/934/2025 de fecha 24 de octubre, enviado al Ing. Octavio Gomez Paulin"/>
    <x v="1"/>
    <x v="5"/>
    <x v="9"/>
    <s v="Lagunilla"/>
    <n v="1"/>
    <m/>
    <s v="CENTRO ORIENTE"/>
  </r>
  <r>
    <n v="219"/>
    <s v="777"/>
    <s v="OCTUBRE"/>
    <d v="2025-10-02T00:00:00"/>
    <s v="SZI-128/25"/>
    <m/>
    <s v="Oficio CFE Ixmiquilpan Superi. Gerardo Aguilera Coria responde oficio AEEH/DG/244/2025"/>
    <s v="ING. FRANCISCO"/>
    <d v="2025-10-06T00:00:00"/>
    <s v="SI"/>
    <s v="DE CONOCIMIENTO"/>
    <x v="1"/>
    <x v="10"/>
    <x v="30"/>
    <m/>
    <n v="1"/>
    <n v="300"/>
    <s v="DIVISION BAJIO"/>
  </r>
  <r>
    <n v="220"/>
    <s v="778"/>
    <s v="OCTUBRE"/>
    <d v="2025-10-02T00:00:00"/>
    <s v="SZI-152/25"/>
    <m/>
    <s v="Oficio CFE Ixmiquilpan Superi. Gerardo Aguilera Coria responde oficio AEEH/DG/382/2025"/>
    <s v="ING. FRANCISCO"/>
    <d v="2025-10-06T00:00:00"/>
    <s v="SI"/>
    <s v="DE CONOCIMIENTO"/>
    <x v="1"/>
    <x v="10"/>
    <x v="30"/>
    <m/>
    <n v="1"/>
    <n v="72"/>
    <s v="DIVISION BAJIO"/>
  </r>
  <r>
    <n v="221"/>
    <s v="779"/>
    <s v="OCTUBRE"/>
    <d v="2025-10-02T00:00:00"/>
    <s v="SZI-193/25"/>
    <m/>
    <s v="Oficio CFE Ixmiquilpan Superi. Gerardo Aguilera Coria responde oficio AEEH/DG/655/2026"/>
    <s v="ING. FRANCISCO"/>
    <d v="2025-10-06T00:00:00"/>
    <s v="SI"/>
    <s v="DE CONOCIMIENTO"/>
    <x v="1"/>
    <x v="10"/>
    <x v="30"/>
    <m/>
    <n v="1"/>
    <n v="200"/>
    <s v="DIVISION BAJIO"/>
  </r>
  <r>
    <n v="222"/>
    <s v="781"/>
    <s v="OCTUBRE"/>
    <d v="2025-10-03T00:00:00"/>
    <s v="SEMARNATH/DESP/DGOET-0546/2025"/>
    <m/>
    <s v="En apego al Plan Estatal de Desarrollo solicita provea de informacion de los proyectos a corto, mediano y largo plazo con el fin de que sean considerados en las delimitaciones (UGA's)"/>
    <s v="ARQ. DIEGO"/>
    <d v="2025-10-06T00:00:00"/>
    <s v="SI"/>
    <s v="RESPUESTA CON OFICIO AEEH-DG-890-2025"/>
    <x v="0"/>
    <x v="2"/>
    <x v="1"/>
    <m/>
    <n v="1"/>
    <m/>
    <m/>
  </r>
  <r>
    <n v="223"/>
    <s v="798"/>
    <s v="OCTUBRE"/>
    <d v="2025-10-09T00:00:00"/>
    <s v="SEDECO/CGI/1160/2025_x000a_SDG/DAAP/8982/2025"/>
    <m/>
    <s v="Solicita se de atencion al C. Marco Antonio Soto Fragoso de Epazoyucan para apoyo de red electrica en el Barrio Caja de Agua de Xolostitla"/>
    <s v="ING. FRANCISCO"/>
    <d v="2025-10-10T00:00:00"/>
    <s v="SI"/>
    <s v="PARA SU ATENCIÓN _x000a_GESTIÓN _x000a_SDE-UCC-06721-25_x000a_Se da respuesta con oficio AEEH/DG/948/2025 de fecha 31 de octubre, enviado al ]ing. Octavio Gómez Paulin "/>
    <x v="1"/>
    <x v="3"/>
    <x v="57"/>
    <s v="Caja de Agua"/>
    <n v="1"/>
    <n v="32"/>
    <s v="CENTRO ORIENTE"/>
  </r>
  <r>
    <n v="224"/>
    <s v="795"/>
    <s v="OCTUBRE"/>
    <d v="2025-10-09T00:00:00"/>
    <s v="SEDECO/CGI/TI/1162/2025_x000a_"/>
    <m/>
    <s v="Solicitud de audiencia para proyectos eolicos por parte de C. Carlos Gil Borja, Director de Desarrollo de Negocios de RyseEnergy"/>
    <s v="ARQ. ORLANDO "/>
    <d v="2025-10-14T00:00:00"/>
    <s v="SI"/>
    <s v="PARA SU ATENCIÓN _x000a_GESTIÓN _x000a_SDE-CGI-00159-25_x000a_Se realiza reunion el dia 06 de noviembre en las oficinas de la AEEH, reporte de activiades archivado en AEEH-2*1S.5/04-2025"/>
    <x v="0"/>
    <x v="14"/>
    <x v="1"/>
    <m/>
    <n v="1"/>
    <m/>
    <m/>
  </r>
  <r>
    <n v="225"/>
    <s v="802"/>
    <s v="OCTUBRE"/>
    <d v="2025-10-14T00:00:00"/>
    <s v="SEDECO/CGI/TI/1194/2025_x000a_SDG/DGAP/9735/2025"/>
    <m/>
    <s v="Solicita atender al C. Mauro Cortés Hernández para analizar la posible reparación de postes y cableado de luz, ocasionados por el huracan Priscila  "/>
    <s v="ING. FRANCISCO"/>
    <d v="2025-10-15T00:00:00"/>
    <s v="SI"/>
    <s v="PARA SU ATENCIÓN _x000a_GESTIÓN _x000a_SDE-UCC-06836-25_x000a_Se da respuesta con oficio AEEH/DG/1002/2025 de fecha 19 de noviembre enviado al ]ing. Octavio Gómez Paulin "/>
    <x v="1"/>
    <x v="6"/>
    <x v="48"/>
    <s v="Cholula"/>
    <n v="1"/>
    <n v="32"/>
    <s v="GOLFO CENTRO"/>
  </r>
  <r>
    <n v="226"/>
    <s v="818"/>
    <s v="OCTUBRE"/>
    <d v="2025-10-17T00:00:00"/>
    <s v="SEDECO/CGI/TI/1211/2025"/>
    <m/>
    <s v="Solciita atender a la C. Lucero Tolentino Hernández, puesto que en su casa no hay señal ni electricidad debido al Huracan Priscila, solicita la reactivación de la misma"/>
    <s v="ING. FRANCISCO"/>
    <d v="2025-10-23T00:00:00"/>
    <s v="SI"/>
    <s v="PARA SU ATENCIÓN_x000a_GESTIÓN_x000a_SDE-UCC-06852-25_x000a_Se de respuesta con oficio AEEH/DG/933/2025"/>
    <x v="1"/>
    <x v="6"/>
    <x v="48"/>
    <s v="Xochimilco"/>
    <n v="1"/>
    <n v="622"/>
    <s v="GOLFO CENTRO"/>
  </r>
  <r>
    <n v="227"/>
    <s v="819"/>
    <s v="OCTUBRE"/>
    <d v="2025-10-17T00:00:00"/>
    <s v="ECO/222/2025"/>
    <m/>
    <s v="Invitación al taller &quot;Diagnostico ambiental del programa de ordenaminento ecologico, el 27 de octubre "/>
    <s v="ARQ. ORLANDO"/>
    <d v="2025-10-23T00:00:00"/>
    <s v="SI"/>
    <s v="DE CONOCIMIENTO"/>
    <x v="0"/>
    <x v="0"/>
    <x v="58"/>
    <m/>
    <n v="1"/>
    <m/>
    <m/>
  </r>
  <r>
    <n v="228"/>
    <s v="803"/>
    <s v="OCTUBRE"/>
    <d v="2025-10-15T00:00:00"/>
    <s v="PMSSH/7167/2025"/>
    <m/>
    <s v="Invitación al taller de participación social del programa de ordenamiento ecologico local el 24 de octubre"/>
    <s v="ARQ. ORLANDO"/>
    <d v="2025-10-23T00:00:00"/>
    <s v="SI"/>
    <s v="DE CONOCIMIENTO"/>
    <x v="0"/>
    <x v="0"/>
    <x v="9"/>
    <m/>
    <n v="1"/>
    <m/>
    <m/>
  </r>
  <r>
    <n v="229"/>
    <s v="827"/>
    <s v="OCTUBRE"/>
    <d v="2025-10-22T00:00:00"/>
    <s v="SEDECO/DJ/426/2025"/>
    <m/>
    <s v="Recepción de acuerdo para que CFE pueda reubicar postes afectados por Huracan en la zona Otomi-Tepehua"/>
    <s v=" ARQ. DIEGO"/>
    <d v="2025-10-23T00:00:00"/>
    <s v="SI"/>
    <s v="PARA SU ATENCIÓN _x000a_GESTIÓN_x000a_SDE-DJUR-00378-25_x000a_Se da respuesta con los oficios _x000a_AEEH/DG/958/2025, de fecha 05 de noviembre, enviado al Dr. Jesús López Serrano _x000a_AEEH/DG/980/2025, de fecha 10 de noviembre, enviado al Lic. Pedro Javier Pérez López"/>
    <x v="0"/>
    <x v="10"/>
    <x v="1"/>
    <m/>
    <n v="1"/>
    <m/>
    <s v="GOLFO CENTRO"/>
  </r>
  <r>
    <n v="230"/>
    <s v="828"/>
    <s v="OCTUBRE"/>
    <d v="2025-10-22T00:00:00"/>
    <s v="SEDECO/DJ/427/2025"/>
    <m/>
    <s v="Recepción de acuerdo para que CFE pueda reubicar postes afectados por Huracan en la Huasteca Hidalguense"/>
    <s v=" ARQ. DIEGO"/>
    <d v="2025-10-23T00:00:00"/>
    <s v="SI"/>
    <s v="PARA SU ATENCIÓN _x000a_GESTIÓN_x000a_SDE-DJUR-00379-25_x000a_Se da respuesta con los oficios _x000a_AEEH/DG/958/2025, de fecha 05 de noviembre, enviado al Dr. Jesús López Serrano _x000a_AEEH/DG/979/2025, de fecha 10 de noviembre, enviado al Lic. Pedro Javier Pérez López"/>
    <x v="0"/>
    <x v="10"/>
    <x v="1"/>
    <m/>
    <n v="1"/>
    <m/>
    <s v="GOLFO CENTRO"/>
  </r>
  <r>
    <n v="231"/>
    <s v="823"/>
    <s v="OCTUBRE"/>
    <d v="2025-10-21T00:00:00"/>
    <s v="SEDECO/CGI/TI/1220/2025_x000a_SDG/DGAP/9990/2025"/>
    <m/>
    <s v="Solicita atender a la C. Areli Guerrero Patricio, para hacer ampliación eléctrica "/>
    <s v="ING. FRANCISCO"/>
    <d v="2025-10-23T00:00:00"/>
    <s v="SI"/>
    <s v="PARA SU ATENCIÓN_x000a_GESTIÓN_x000a_SDE-UCC-06882-25_x000a_Se de respuesta con oficio AEEH/DG/949/2025, de fecha 31 de octubre, enviado al Ing. Octavio Gómez Paulin"/>
    <x v="1"/>
    <x v="3"/>
    <x v="31"/>
    <s v="San Antonio Corrales"/>
    <n v="1"/>
    <n v="32"/>
    <s v="DIVISION BAJIO"/>
  </r>
  <r>
    <n v="232"/>
    <s v="824"/>
    <s v="OCTUBRE"/>
    <d v="2025-10-21T00:00:00"/>
    <s v="SEDECO/CGI/TI/1221/2025_x000a_SDG/DGAP/9996/2025"/>
    <m/>
    <s v="Solicita atender al C. Jose Barraza Romero, para proporcionar alternativas de solución al abuso sufrido por CFE "/>
    <s v="ING. FRANCISCO"/>
    <d v="2025-10-23T00:00:00"/>
    <s v="SI"/>
    <s v="PARA SU ATENCIÓN_x000a_GESTIÓN_x000a_SDE-UCC-06883-25_x000a_Se de respuesta con oficio AEEH/DG/947/2025, de fecha 31 de octubre, enviado al Ing. Octavio Gómez Paulin"/>
    <x v="1"/>
    <x v="1"/>
    <x v="1"/>
    <m/>
    <n v="1"/>
    <n v="2"/>
    <s v="CENTRO ORIENTE"/>
  </r>
  <r>
    <n v="233"/>
    <s v="826"/>
    <s v="OCTUBRE"/>
    <d v="2025-10-22T00:00:00"/>
    <s v="OM/DGSG/1800/2025"/>
    <m/>
    <s v="Se informa el periodo en el que personal de Serivicios Generales estarán aplicando pintura vinilica en las oficinas de las AEEH"/>
    <s v="LIC. ARELI"/>
    <d v="2025-10-23T00:00:00"/>
    <s v="SI"/>
    <s v="DE CONOCIMIENTO"/>
    <x v="0"/>
    <x v="2"/>
    <x v="1"/>
    <m/>
    <n v="1"/>
    <m/>
    <m/>
  </r>
  <r>
    <n v="234"/>
    <s v="831"/>
    <s v="OCTUBRE"/>
    <d v="2025-10-22T00:00:00"/>
    <s v="S/N"/>
    <m/>
    <s v="Invitacíon al taller de participación social el 28 de octubre a las 10:00 en Tlaxcoapan"/>
    <s v="ARQ. DIEGO"/>
    <d v="2025-10-28T00:00:00"/>
    <s v="SI"/>
    <s v="Se decide no asistir por que la agencia no cuenta con estudios en esa zona"/>
    <x v="0"/>
    <x v="0"/>
    <x v="59"/>
    <m/>
    <n v="1"/>
    <m/>
    <m/>
  </r>
  <r>
    <n v="235"/>
    <s v="836"/>
    <s v="OCTUBRE"/>
    <d v="2025-10-24T00:00:00"/>
    <s v="PMHO/EX/511/2025"/>
    <m/>
    <s v="Invitación al taller de participación social del programa de ordenamiento ecologico local el 31 de octubre"/>
    <s v="ARQ. DIEGO"/>
    <d v="2025-10-28T00:00:00"/>
    <s v="SI"/>
    <s v="Se decide no asistir por que la agencia no cuenta con estudios en esa zona"/>
    <x v="0"/>
    <x v="0"/>
    <x v="19"/>
    <m/>
    <n v="1"/>
    <m/>
    <m/>
  </r>
  <r>
    <n v="236"/>
    <s v="843"/>
    <s v="OCTUBRE"/>
    <d v="2025-10-29T00:00:00"/>
    <s v="SC/374/2025"/>
    <m/>
    <s v="Recomendaciones para prevenir observaciones de los organos fiscales, respecto a la ejecución de obras pÚblicas de la cuenta oublica 2025"/>
    <s v="ARQ. ORLANDO"/>
    <d v="2025-10-30T00:00:00"/>
    <s v="SI"/>
    <s v="DE CONOCIMIENTO"/>
    <x v="0"/>
    <x v="2"/>
    <x v="1"/>
    <m/>
    <m/>
    <m/>
    <m/>
  </r>
  <r>
    <n v="237"/>
    <s v="846"/>
    <s v="OCTUBRE"/>
    <d v="2025-10-29T00:00:00"/>
    <s v="SEDECO/CGI/TI/1262/2025_x000a_SDG/DGAP/10056/2025"/>
    <m/>
    <s v="Atender al C. Eligio Bautista Hernández para restablecer el suministro de energia electrica afectadas por el Huracan Priscila"/>
    <s v="ING. FRANCISCO"/>
    <d v="2025-10-30T00:00:00"/>
    <s v="SI"/>
    <s v="PARA SU ATENCIÓN_x000a_GESTIÓN_x000a_SDE-UCC-06939-25_x000a_Se de respuesta con oficio AEEH/DG/1005/2025, de fecha 19 de noviembre, enviado al Ing. Octavio Gómez Paulin"/>
    <x v="1"/>
    <x v="6"/>
    <x v="60"/>
    <m/>
    <n v="1"/>
    <n v="1112"/>
    <s v="GOLFO CENTRO"/>
  </r>
  <r>
    <n v="238"/>
    <s v="847"/>
    <s v="OCTUBRE"/>
    <d v="2025-10-29T00:00:00"/>
    <s v="SEDECO/CGI/TI/1263/2025_x000a_SDG/DGAP/10089/2025"/>
    <m/>
    <s v="Atender al C. Faustino Guzman Paredes, quien solicita el restablecimiento de energia electrica la cual fue afectada por el Huracan Priscila. "/>
    <s v="ING. FRANCISCO"/>
    <d v="2025-10-30T00:00:00"/>
    <s v="SI"/>
    <s v="PARA SU ATENCIÓN_x000a_GESTIÓN_x000a_SDE-UCC-06938-25_x000a_Se de respuesta con oficio AEEH/DG/997/2025, de fecha 19 de noviembre, enviado al Ing. Octavio Gómez Paulin"/>
    <x v="1"/>
    <x v="6"/>
    <x v="26"/>
    <m/>
    <n v="1"/>
    <n v="615"/>
    <s v="GOLFO CENTRO"/>
  </r>
  <r>
    <n v="239"/>
    <s v="848"/>
    <s v="OCTUBRE"/>
    <d v="2025-10-29T00:00:00"/>
    <s v="SEDECO/CGI/TI/1264/2025_x000a_SDG/DGAP/10238/2025"/>
    <m/>
    <s v="Atender al C. Armando Romero Gonzalez, quien solicita apoyo con la reparación de la red electrica afectada por el Huracan Priscila  "/>
    <s v="ING. FRANCISCO"/>
    <d v="2025-10-30T00:00:00"/>
    <s v="SI"/>
    <s v="PARA SU ATENCIÓN_x000a_GESTIÓN_x000a_SDE-UCC-06951-25_x000a_Se de respuesta con oficio AEEH/DG/1004/2025, de fecha 19 de noviembre, enviado al Ing. Octavio Gómez Paulin"/>
    <x v="1"/>
    <x v="6"/>
    <x v="61"/>
    <m/>
    <n v="1"/>
    <n v="111"/>
    <s v="DIVISION BAJIO"/>
  </r>
  <r>
    <n v="240"/>
    <s v="849"/>
    <s v="OCTUBRE"/>
    <d v="2025-10-29T00:00:00"/>
    <s v="SEDECO/CGI/TI/1265/2025_x000a_SDG/DGAP/10152/2025"/>
    <m/>
    <s v="Atender a la C. Aidee Vixtha Reyo, quien solicita apoyo para restablecer energia electrica afectada por el Huracan  "/>
    <s v="ING. FRANCISCO"/>
    <d v="2025-10-30T00:00:00"/>
    <s v="SI"/>
    <s v="PARA SU ATENCIÓN_x000a_GESTIÓN_x000a_SDE-UCC-06947-25_x000a_Se de respuesta con oficio AEEH/DG/995/2025, de fecha 19 de noviembre, enviado al Ing. Octavio Gómez Paulin"/>
    <x v="1"/>
    <x v="6"/>
    <x v="61"/>
    <m/>
    <n v="1"/>
    <n v="88"/>
    <s v="DIVISION BAJIO"/>
  </r>
  <r>
    <n v="241"/>
    <s v="850"/>
    <s v="OCTUBRE"/>
    <d v="2025-10-29T00:00:00"/>
    <s v="SEDECO/CGI/TI/1268/2025_x000a_SDG/DGAP/10108/2025"/>
    <m/>
    <s v="Atender al C. Jose Luis Franco Santana, quien solicita apoyo para mantenimiento de red electrica afectada por el Huracan Priscila"/>
    <s v="ING. FRANCISCO"/>
    <d v="2025-10-30T00:00:00"/>
    <s v="SI"/>
    <s v="PARA SU ATENCIÓN_x000a_GESTIÓN_x000a_SDE-UCC-06946-25_x000a_Se de respuesta con oficio AEEH/DG/1006/2025, de fecha 19 de noviembre, enviado al Ing. Octavio Gómez Paulin"/>
    <x v="1"/>
    <x v="6"/>
    <x v="61"/>
    <m/>
    <n v="1"/>
    <n v="350"/>
    <s v="DIVISION BAJIO"/>
  </r>
  <r>
    <n v="242"/>
    <s v="851"/>
    <s v="OCTUBRE"/>
    <d v="2025-10-29T00:00:00"/>
    <s v="SEDECO/CGI/11/1269/2025_x000a_SDG/DGAP/10186/2025"/>
    <m/>
    <s v="Atender a la C. Heriberta Arenas Ramirez, quien solicita apoyo para el restablecimiento energetico afectado por el Huracan Priscila"/>
    <s v="ING. FRANCISCO"/>
    <d v="2025-10-30T00:00:00"/>
    <s v="SI"/>
    <s v="PARA SU ATENCIÓN_x000a_GESTIÓN_x000a_SDE-UCC-06967-25_x000a_Se de respuesta con oficio AEEH/DG/1003/2025, de fecha 19 de noviembre, enviado al Ing. Octavio Gómez Paulin"/>
    <x v="1"/>
    <x v="6"/>
    <x v="62"/>
    <s v="MIXTLA"/>
    <n v="1"/>
    <n v="78"/>
    <s v="GOLFO CENTRO"/>
  </r>
  <r>
    <n v="243"/>
    <s v="852"/>
    <s v="OCTUBRE"/>
    <d v="2025-10-29T00:00:00"/>
    <s v="SEDECO/CHI/TI/1270/2025_x000a_SDG/DGAP/10131/2025"/>
    <m/>
    <s v="Atender a la C. Erika Gutierrez Acosta, quien solicita apoyo para el restableimiento de energia electrica afectada por el Huracan Priscila   "/>
    <s v="ING. FRANCISCO"/>
    <d v="2025-10-30T00:00:00"/>
    <s v="SI"/>
    <s v="PARA SU ATENCIÓN_x000a_GESTIÓN_x000a_SDE-UCC-06950-25_x000a_Se de respuesta con oficio AEEH/DG/999/2025, de fecha 19 de noviembre, enviado al Ing. Octavio Gómez Paulin"/>
    <x v="1"/>
    <x v="6"/>
    <x v="61"/>
    <m/>
    <n v="1"/>
    <n v="1100"/>
    <s v="DIVISION BAJIO"/>
  </r>
  <r>
    <n v="244"/>
    <s v="853"/>
    <s v="OCTUBRE"/>
    <d v="2025-10-29T00:00:00"/>
    <s v="SEDECO/CGI/TI/1272/2025_x000a_SDG/DGAP/10175/2025"/>
    <m/>
    <s v="Atender a la C. Santos Gutierrez Acosta, quien solicita apoyo para el restablecimiento de energia electrica afectada por el Huracan Priscila"/>
    <s v="ING. FRANCISCO"/>
    <d v="2025-10-30T00:00:00"/>
    <s v="SI"/>
    <s v="PARA SU ATENCIÓN_x000a_GESTIÓN_x000a_SDE-UCC-06949-25_x000a_Se de respuesta con oficio AEEH/DG/1001/2025, de fecha 19 de noviembre, enviado al Ing. Octavio Gómez Paulin"/>
    <x v="1"/>
    <x v="6"/>
    <x v="61"/>
    <m/>
    <n v="1"/>
    <n v="254"/>
    <s v="DIVISION BAJIO"/>
  </r>
  <r>
    <n v="245"/>
    <s v="854"/>
    <s v="OCTUBRE"/>
    <d v="2025-10-29T00:00:00"/>
    <s v="SEDECO/CGI/TI/1271/2025_x000a_SDG/DGAP/10203/2025"/>
    <m/>
    <s v="Atender al C. Anatolio Angeles Garcia, para instalar la luz trifasica en coordinacion con CFE"/>
    <s v="ING. FRANCISCO"/>
    <d v="2025-10-30T00:00:00"/>
    <s v="SI"/>
    <s v="PARA SU ATENCIÓN_x000a_GESTIÓN_x000a_SDE-UCC-06966-25_x000a_Se de respuesta con oficio AEEH/DG/1030/2025, de fecha 02 de diciembre enviado al Ing. Octavio Gómez Paulin"/>
    <x v="1"/>
    <x v="8"/>
    <x v="5"/>
    <m/>
    <n v="1"/>
    <n v="18"/>
    <s v="GOLFO CENTRO"/>
  </r>
  <r>
    <n v="246"/>
    <s v="855"/>
    <s v="OCTUBRE"/>
    <d v="2025-10-29T00:00:00"/>
    <s v="SEDECO/CGI/TI/1273/202_x000a_SDG/DGAP/10212/2025"/>
    <m/>
    <s v="Atender a la C. Juventina Martinez Romero, para solucionar incidente por cables de energia electrica "/>
    <s v="ING. FRANCISCO"/>
    <d v="2025-10-30T00:00:00"/>
    <s v="SI"/>
    <s v="PARA SU ATENCIÓN_x000a_GESTIÓN_x000a_SDE-UCC-06952-25_x000a_Se de respuesta con oficio AEEH/DG/1000/2025, de fecha 19 de noviembre enviado al Ing. Octavio Gómez Paulin"/>
    <x v="1"/>
    <x v="6"/>
    <x v="61"/>
    <m/>
    <n v="1"/>
    <n v="4"/>
    <s v="DIVISION BAJIO"/>
  </r>
  <r>
    <n v="247"/>
    <s v="856"/>
    <s v="OCTUBRE"/>
    <d v="2025-10-29T00:00:00"/>
    <s v="SEDECO/CGI/TI/1273/202_x000a_SDG/DGAP/10234/2025"/>
    <m/>
    <s v="Atender al C. Rene Estrada Romero, quien solicita la ampliación de red electrica"/>
    <s v="ING. FRANCISCO"/>
    <d v="2025-10-30T00:00:00"/>
    <s v="SI"/>
    <s v="PARA SU ATENCIÓN_x000a_GESTIÓN_x000a_SDE-UCC-06948-25_x000a_Se de respuesta con oficio AEEH/DG/1036/2025, de fecha 02 de diciembre enviado al Ing. Octavio Gómez Paulin"/>
    <x v="1"/>
    <x v="6"/>
    <x v="61"/>
    <m/>
    <n v="1"/>
    <n v="152"/>
    <s v="DIVISION BAJIO"/>
  </r>
  <r>
    <n v="248"/>
    <s v="857"/>
    <s v="OCTUBRE"/>
    <d v="2025-10-29T00:00:00"/>
    <s v="SEDECO/CGI/TI/12714/2025_x000a_SDG/DGAP/10290"/>
    <m/>
    <s v="Atender al C. Juan Martinez Hernández, para reubicar poste de energia electrica "/>
    <s v="ING. FRANCISCO"/>
    <d v="2025-10-30T00:00:00"/>
    <s v="SI"/>
    <s v="PARA SU ATENCIÓN_x000a_GESTIÓN_x000a_SDE-UCC-06965-25_x000a_Se de respuesta con oficio AEEH/DG/1031/2025, de fecha 02 de diciembre enviado al Ing. Octavio Gómez Paulin"/>
    <x v="1"/>
    <x v="10"/>
    <x v="27"/>
    <m/>
    <n v="1"/>
    <n v="32"/>
    <s v="GOLFO CENTRO"/>
  </r>
  <r>
    <n v="249"/>
    <s v="875"/>
    <s v="NOVIEMBRE"/>
    <d v="2025-11-04T00:00:00"/>
    <s v="SEDECO/CAyP/1462/2025"/>
    <m/>
    <s v="Proporcionar documentación del Programa Energía para el Bienestar a la Coordinación de Adminsitración y Planeación "/>
    <s v="ARQ. ORLANDO"/>
    <d v="2025-11-05T00:00:00"/>
    <s v="SI"/>
    <s v="Se responde con oficio AEEH/DPIE/044/2025"/>
    <x v="0"/>
    <x v="2"/>
    <x v="1"/>
    <m/>
    <n v="1"/>
    <m/>
    <m/>
  </r>
  <r>
    <n v="250"/>
    <s v="876"/>
    <s v="NOVIEMBRE"/>
    <d v="2025-11-04T00:00:00"/>
    <s v="SEDECO/CAyP/1463/2025"/>
    <m/>
    <s v="Proporcionar documentación del Programa Energía que Transforma a la Coordinación de Adminsitración y Planeación "/>
    <s v="ARQ. ORLANDO"/>
    <d v="2025-11-05T00:00:00"/>
    <s v="SI"/>
    <s v="Se responde con oficio AEEH/DPIE/045/2025"/>
    <x v="0"/>
    <x v="2"/>
    <x v="1"/>
    <m/>
    <n v="1"/>
    <m/>
    <m/>
  </r>
  <r>
    <n v="251"/>
    <s v="870"/>
    <s v="OCTUBRE"/>
    <d v="2025-10-31T00:00:00"/>
    <s v="SEDECO/CGI/TI/1279/2025_x000a_SDG/DGAP/10465/2025"/>
    <m/>
    <s v="Atender a la C. Concepción Morales quien solicita apoyo para restablecer el servicio de electricidad afectada por el Huracan Priscila"/>
    <s v="ING. FRANCISCO"/>
    <d v="2025-11-05T00:00:00"/>
    <s v="SI"/>
    <s v="PARA SU ATENCIÓN_x000a_GESTIÓN_x000a_SDE-UCC-06992-25_x000a_Se da respuesta con oficio AEEH/DG/998/2025, de fecha 19 de noviembre enviado al Ing. Octavio Gómez Paulin"/>
    <x v="1"/>
    <x v="6"/>
    <x v="48"/>
    <m/>
    <n v="1"/>
    <n v="4"/>
    <s v="GOLFO CENTRO"/>
  </r>
  <r>
    <n v="252"/>
    <s v="871"/>
    <s v="OCTUBRE"/>
    <d v="2025-10-29T00:00:00"/>
    <s v="SEDECO/CGI/TI/1286/2025_x000a_SDG/DGAP/10475/2025"/>
    <m/>
    <s v="Atender al C. Cecilio Monroy Acosta, quien solicita apoyo para retirar cables de alta tensión que pasan arriba de su domicilio "/>
    <s v="ING. FRANCISCO"/>
    <d v="2025-11-05T00:00:00"/>
    <s v="SI"/>
    <s v="PARA SU ATENCIÓN_x000a_GESTIÓN_x000a_SDE-UCC-06993-25_x000a_Se da respuesta con oficio AEEH/DG/1037/2025, de fecha 02 de diciembre enviado al Ing. Octavio Gómez Paulin"/>
    <x v="1"/>
    <x v="10"/>
    <x v="48"/>
    <m/>
    <n v="1"/>
    <n v="4"/>
    <s v="GOLFO CENTRO"/>
  </r>
  <r>
    <n v="253"/>
    <s v="872"/>
    <s v="OCTUBRE"/>
    <d v="2025-10-30T00:00:00"/>
    <s v="SEDECO/CGI/TI/1290/202SDG/DGAP/10691/2025"/>
    <m/>
    <s v="Atender a la C. Yaneli Martinez Lopez, quien solicita se revise la linea electrica que abastece a diversas comudidades ya que se vio afectada por el Huracan Priscila  "/>
    <s v="ING. FRANCISCO"/>
    <d v="2025-11-05T00:00:00"/>
    <s v="SI"/>
    <s v="PARA SU ATENCIÓN_x000a_GESTIÓN_x000a_SDE-UCC-07036-25_x000a_Se da respuesta con oficio AEEH/DG/996/2025, de fecha 19 de noviembre enviado al Ing. Octavio Gómez Paulin"/>
    <x v="1"/>
    <x v="6"/>
    <x v="17"/>
    <m/>
    <n v="1"/>
    <n v="220"/>
    <s v="GOLFO CENTRO"/>
  </r>
  <r>
    <n v="254"/>
    <s v="878"/>
    <s v="NOVIEMBRE"/>
    <d v="2025-11-06T00:00:00"/>
    <s v="SEDECO/CGI/TI/1305/2025_x000a_SDG/DGAP/10952/2025"/>
    <m/>
    <s v="Atender al C. Rigoberto Acosta Sabanilla, para el restablecimiento de la energia electrica afectada por el Huracan Priscila"/>
    <s v="ING. FRANCISCO"/>
    <d v="2025-11-06T00:00:00"/>
    <s v="SI"/>
    <s v="PARA SU ATENCIÓN_x000a_GESTIÓN_x000a_SDE-UCC-07076-25_x000a_Se da respuesta con oficio AEEH/DG/1011/2025, de fecha 21 de noviembre enviado al Ing. Alejandro Yusulman Hernández Leal"/>
    <x v="1"/>
    <x v="6"/>
    <x v="61"/>
    <m/>
    <n v="1"/>
    <n v="204"/>
    <s v="DIVISION BAJIO"/>
  </r>
  <r>
    <n v="255"/>
    <s v="879"/>
    <s v="NOVIEMBRE"/>
    <d v="2025-11-06T00:00:00"/>
    <s v="SEDECO/CGI/TI/1306/2025_x000a_SDG/DGAP/11012/2025"/>
    <m/>
    <s v="Atender a la C. Ana Lidia Gomez Benitez, quien solicita intervención para electrificar la Calle La Palma"/>
    <s v="ING. FRANCISCO"/>
    <d v="2025-11-06T00:00:00"/>
    <s v="SI"/>
    <s v="PARA SU ATENCIÓN_x000a_GESTIÓN_x000a_SDE-UCC-07085-25_x000a_Se da respuesta con oficio AEEH/DG/1032/2025, de fecha 02 de diciembre enviado al Ing. Octavio Gómez Paulin "/>
    <x v="1"/>
    <x v="3"/>
    <x v="16"/>
    <m/>
    <n v="1"/>
    <n v="354"/>
    <s v="CENTRO ORIENTE"/>
  </r>
  <r>
    <n v="256"/>
    <s v="880"/>
    <s v="NOVIEMBRE"/>
    <d v="2025-11-06T00:00:00"/>
    <s v="SEDECO/CGI/TI/1307/2025_x000a_SDG/DGAP/11050/2025"/>
    <m/>
    <s v="Atender al C. Isaias Martin Gonzalez, quien solicita apoyo para la ampliación de red electrica en diversas manzanas de su comunidad."/>
    <s v="ING. FRANCISCO"/>
    <d v="2025-11-06T00:00:00"/>
    <s v="SI"/>
    <s v="PARA SU ATENCIÓN_x000a_GESTIÓN_x000a_SDE-UCC-07088-25_x000a_Se da respuesta con oficio AEEH/DG/1033/2025, de fecha 02 de diciembre enviado al Ing. Octavio Gómez Paulin "/>
    <x v="1"/>
    <x v="3"/>
    <x v="16"/>
    <m/>
    <n v="1"/>
    <n v="150"/>
    <s v="CENTRO ORIENTE"/>
  </r>
  <r>
    <n v="257"/>
    <s v="883"/>
    <s v="NOVIEMBRE"/>
    <d v="2025-11-07T00:00:00"/>
    <s v="UPLAPH/COEMERE/212/2025"/>
    <m/>
    <s v="Orientacion virtual el dia 12 de noviembre a las10 am para integrar el Programa Anual de Mejora Regulatoria PAMR 2026 "/>
    <s v="LIC. ARELI"/>
    <d v="2025-11-07T00:00:00"/>
    <s v="SI"/>
    <s v="Ing. Francisco y Lic. Areli se conectaron a la capacitación"/>
    <x v="0"/>
    <x v="2"/>
    <x v="2"/>
    <m/>
    <n v="1"/>
    <m/>
    <m/>
  </r>
  <r>
    <n v="258"/>
    <s v="886"/>
    <s v="NOVIEMBRE"/>
    <d v="2025-11-10T00:00:00"/>
    <s v="SMARNTR/208/2025"/>
    <m/>
    <s v="Invitación al taller &quot;Presentación de resultados de la etapa de diagnostico e inicio de la etapa de pronostico&quot; del POEL, el 18 de Noviembre"/>
    <s v=" ARQ. DIEGO"/>
    <d v="2025-11-11T00:00:00"/>
    <s v="SI"/>
    <s v="Se decide no asistir por que la agencia no cuenta con estudios en esa zona"/>
    <x v="0"/>
    <x v="0"/>
    <x v="49"/>
    <m/>
    <m/>
    <m/>
    <m/>
  </r>
  <r>
    <n v="259"/>
    <s v="887"/>
    <s v="NOVIEMBRE"/>
    <d v="2025-11-10T00:00:00"/>
    <s v="PMSSH/7598/2025"/>
    <m/>
    <s v="Invitación al taller &quot;Pronostico&quot; para la construcción del POEL, el 21 de noviembre "/>
    <s v=" ARQ. DIEGO"/>
    <d v="2025-11-11T00:00:00"/>
    <s v="SI"/>
    <s v="Se decide no asistir por que la agencia no cuenta con estudios en esa zona"/>
    <x v="0"/>
    <x v="0"/>
    <x v="9"/>
    <m/>
    <m/>
    <m/>
    <m/>
  </r>
  <r>
    <n v="260"/>
    <s v="888"/>
    <s v="NOVIEMBRE"/>
    <d v="2025-11-10T00:00:00"/>
    <s v="SEDECO/CGI/TI/1313/2025_x000a_SDG/DGAP/11214/2025"/>
    <m/>
    <s v="Solicita atender al C. Juan Maqueda Cano, quien solicita la donación de un transformador trifasico para su comunidad "/>
    <s v="ING. FRANCISCO"/>
    <d v="2025-11-11T00:00:00"/>
    <s v="SI"/>
    <s v="PARA SU ATENCIÓN_x000a_GESTIÓN_x000a_SDE-UCC-07108-25_x000a_Se da respuesta con oficio AEEH/DG/1044/2025, de fecha 02 de diciembre enviado al Ing. Octavio Gómez Paulin "/>
    <x v="1"/>
    <x v="8"/>
    <x v="16"/>
    <m/>
    <n v="1"/>
    <m/>
    <s v="CENTRO ORIENTE"/>
  </r>
  <r>
    <n v="261"/>
    <s v="889"/>
    <s v="NOVIEMBRE"/>
    <d v="2025-11-10T00:00:00"/>
    <s v="SEDECO/CGI/TI/1323/2025_x000a_SDG/DCAP/11162/2025"/>
    <m/>
    <s v="Solicita atender al C. Juan Maqueda Cano, quien solicita apoyo para el preescolar comunitario con el programa &quot;internet para todos&quot;"/>
    <s v=" ARQ. DIEGO"/>
    <d v="2025-11-11T00:00:00"/>
    <s v="SI"/>
    <s v="PARA SU ATENCIÓN_x000a_GESTIÓN_x000a_SDE-UCC-07116-25_x000a_Se da respuesta con Oficio AEEH/DG/1054/2025, de fecha 03 de diciembre, enviado al Ing. Octavio Gómez Paulin "/>
    <x v="1"/>
    <x v="11"/>
    <x v="16"/>
    <m/>
    <n v="1"/>
    <m/>
    <s v="CENTRO ORIENTE"/>
  </r>
  <r>
    <n v="262"/>
    <s v="890"/>
    <s v="NOVIEMBRE"/>
    <d v="2025-11-10T00:00:00"/>
    <s v="SEDECO/CGI/TI/1324/2025_x000a_SDG/DGAP/11265/2025_x000a_"/>
    <m/>
    <s v="Solicita atender al C. Iván Hernández Urbano, quien solicita apoyo con la reubicación de la red electrica, debido a que se vio afectada por un incendio "/>
    <s v="ING. FRANCISCO"/>
    <d v="2025-11-11T00:00:00"/>
    <s v="SI"/>
    <s v="PARA SU ATENCIÓN_x000a_GESTIÓN_x000a_SDE-UCC-07117-25_x000a_Se da respuesta con oficio AEEH/DG/1041/2025, de fecha 02 de diciembre enviado al Ing. Octavio Gómez Paulin "/>
    <x v="1"/>
    <x v="10"/>
    <x v="61"/>
    <m/>
    <n v="1"/>
    <m/>
    <s v="DIVISION BAJIO"/>
  </r>
  <r>
    <n v="263"/>
    <s v="891"/>
    <s v="NOVIEMBRE"/>
    <d v="2025-11-10T00:00:00"/>
    <s v="SEDECO/CGI/TI/1325/2025_x000a_SDG/DGAP/11240/2025"/>
    <m/>
    <s v="Solicita atender al C. Juan Maqueda Cano, quien solicita apoyo con el alumbrado publico de las calles de su comunidad "/>
    <s v="ING. FRANCISCO"/>
    <d v="2025-11-11T00:00:00"/>
    <s v="SI"/>
    <s v="PARA SU ATENCIÓN_x000a_GESTIÓN_x000a_SDE-UCC-07154-25_x000a_Se da respuesta con oficio AEEH/DG/1042/2025, de fecha 02 de diciembre enviado al Ing. Octavio Gómez Paulin "/>
    <x v="1"/>
    <x v="5"/>
    <x v="16"/>
    <m/>
    <n v="1"/>
    <m/>
    <s v="CENTRO ORIENTE"/>
  </r>
  <r>
    <n v="264"/>
    <s v="892"/>
    <s v="NOVIEMBRE"/>
    <d v="2025-11-10T00:00:00"/>
    <s v="SEDECO/CGI/TI/1326/2025_x000a_SDG/DGAP/11308/2025"/>
    <m/>
    <s v="Solicita atender al C. Leonides Baltazar Chavez, quien solicita apoyo e intervención con CFE para reparar un transformador del sistema de bombeo"/>
    <s v="ING. FRANCISCO"/>
    <d v="2025-11-11T00:00:00"/>
    <s v="SI"/>
    <s v="PARA SU ATENCIÓN_x000a_GESTIÓN_x000a_SDE-UCC-07181-25_x000a_Se da respuesta con oficio AEEH/DG/1039/2025, de fecha 02 de diciembre enviado al Ing. Octavio Gómez Paulin "/>
    <x v="1"/>
    <x v="6"/>
    <x v="53"/>
    <m/>
    <n v="1"/>
    <m/>
    <s v="GOLFO CENTRO"/>
  </r>
  <r>
    <n v="265"/>
    <s v="893"/>
    <s v="NOVIEMBRE"/>
    <d v="2025-11-10T00:00:00"/>
    <s v="SEDECO/CGI/TI/1328/2025_x000a_SDG/DGAP/11316/2025"/>
    <m/>
    <s v="Solicita atender al C. Juan Carlos Bautista Salgado, quien solicita la renovación de 30 postes dañados por Huracan Priscila"/>
    <s v="ING. FRANCISCO"/>
    <d v="2025-11-11T00:00:00"/>
    <s v="SI"/>
    <s v="PARA SU ATENCIÓN_x000a_GESTIÓN_x000a_SDE-UCC-07152-25_x000a_Se da respuesta con oficio AEEH/DG/1045/2025, de fecha 02 de diciembre enviado al Ing. Octavio Gómez Paulin "/>
    <x v="1"/>
    <x v="10"/>
    <x v="53"/>
    <m/>
    <n v="1"/>
    <m/>
    <s v="GOLFO CENTRO"/>
  </r>
  <r>
    <n v="266"/>
    <s v="899"/>
    <s v="NOVIEMBRE"/>
    <d v="2025-11-12T00:00:00"/>
    <s v="SEDECO/CGI/TI/1331/2025_x000a_SDG/DGAP/11418/2025"/>
    <m/>
    <s v="Solicita atender al C. Martin Tolentino Martinez, quien solicita la construcción de una torre de telecomunicaciones para celulares en su localidad "/>
    <s v=" ARQ. DIEGO"/>
    <d v="2025-11-13T00:00:00"/>
    <s v="SI"/>
    <s v="PARA SU ATENCIÓN_x000a_GESTIÓN_x000a_SDE-UCC-07153-25_x000a_Se da respuesta con Oficio AEEH/DG/1053/2025, de fecha 03 de diciembre, enviado al Ing. Octavio Gómez Paulin "/>
    <x v="1"/>
    <x v="11"/>
    <x v="7"/>
    <m/>
    <n v="1"/>
    <m/>
    <s v="GOLFO CENTRO"/>
  </r>
  <r>
    <n v="267"/>
    <s v="900"/>
    <s v="NOVIEMBRE"/>
    <d v="2025-11-12T00:00:00"/>
    <s v="SEDECO/CGI/TI/1332/2025_x000a_SDG/DGAP/11432/2025"/>
    <m/>
    <s v="Solicita atender al C. Juan Cruz Garcia, quien solicita la donación de 20 lamparas solares para alumbrado publico "/>
    <s v="ING. FRANCISCO"/>
    <d v="2025-11-13T00:00:00"/>
    <s v="SI"/>
    <s v="PARA SU ATENCIÓN_x000a_GESTIÓN_x000a_SDE-UCC-07155-25_x000a_Se da respuesta con oficio AEEH/DG/1040/2025, de fecha 02 de diciembre enviado al Ing. Octavio Gómez Paulin "/>
    <x v="1"/>
    <x v="5"/>
    <x v="4"/>
    <m/>
    <n v="1"/>
    <m/>
    <s v="GOLFO CENTRO"/>
  </r>
  <r>
    <n v="268"/>
    <s v="901"/>
    <s v="NOVIEMBRE"/>
    <d v="2025-11-12T00:00:00"/>
    <s v="SEDECO/CGI/TI/1335/2025_x000a_SDG/DGAP/11492/2025"/>
    <m/>
    <s v="Solicita atender el C. Edibet  de la Palma Villegas, quien solicita apoyo con la electrificación de las instalaciones del Jardin de Niños de su comunidad "/>
    <s v="ING. FRANCISCO"/>
    <d v="2025-11-13T00:00:00"/>
    <s v="SI"/>
    <s v="PARA SU ATENCIÓN_x000a_GESTIÓN_x000a_SDE-UCC-07180-25_x000a_Se da respuesta con oficio AEEH/DG/1043/2025, de fecha 02 de diciembre enviado al Ing. Octavio Gómez Paulin "/>
    <x v="1"/>
    <x v="3"/>
    <x v="53"/>
    <m/>
    <n v="1"/>
    <m/>
    <s v="GOLFO CENTRO"/>
  </r>
  <r>
    <n v="269"/>
    <s v="894"/>
    <s v="NOVIEMBRE"/>
    <d v="2025-11-11T00:00:00"/>
    <s v="SG/SSPCyGR/DG/2704/2025"/>
    <m/>
    <s v="Solicitud de reunion de trabajo para analizar la situacion actual de las estaciones de carburación cerradas en el Estado, entre Protección Civil y la AEEH"/>
    <s v=" ARQ. DIEGO"/>
    <d v="2025-11-14T00:00:00"/>
    <s v="SI"/>
    <s v="PARA SU ATENCIÓN_x000a_GESTIÓN_x000a_SDE-AEEH-00325-25_x000a_Se da respuesta con oficio AEEH/DG/992/2025, de fecha 12 de noviembre enviado al Dr. Roman Bernal Diaz"/>
    <x v="0"/>
    <x v="2"/>
    <x v="1"/>
    <m/>
    <n v="1"/>
    <m/>
    <m/>
  </r>
  <r>
    <n v="270"/>
    <s v="902"/>
    <s v="NOVIEMBRE"/>
    <d v="2025-11-12T00:00:00"/>
    <s v="SEMARNATH/DESP-631/2025_x000a_SEMARNATH/DESP-666/2025"/>
    <m/>
    <s v="Reunión de trabajo &quot;Proyectos Ambientales Emergentes&quot;, el 20 de noviembre en el horario y sede señalada en el oficio SEMARNATH/DESP-631/2025"/>
    <s v="ARQ. ORLANDO"/>
    <d v="2025-11-18T00:00:00"/>
    <s v="SI"/>
    <s v="Asistió Arq. Orlando "/>
    <x v="0"/>
    <x v="2"/>
    <x v="1"/>
    <m/>
    <n v="1"/>
    <m/>
    <m/>
  </r>
  <r>
    <n v="271"/>
    <s v="911"/>
    <s v="NOVIEMBRE"/>
    <d v="2025-11-18T00:00:00"/>
    <s v="SEDECO/CGI/TI/1359/2025_x000a_SDG/DGPA/11799/2025"/>
    <m/>
    <s v="Solicita atender al C. Santiago San Juan Hernández, quien solicita la ampliación de red eléctrica en su comunidad."/>
    <s v="ING. FRANCISCO"/>
    <d v="2025-11-21T00:00:00"/>
    <s v="SI"/>
    <s v="PARA SU ATENCIÓN_x000a_GESTIÓN_x000a_SDE-UCC-07210-25_x000a_SE DA SEGUIMIENTO CON OFICIO AEEH-DG-1089-2025 ENVIADO AL ING. OCTAVIO GÓMEZ PAULIN "/>
    <x v="1"/>
    <x v="3"/>
    <x v="7"/>
    <s v="Achiquihuixtla"/>
    <n v="1"/>
    <m/>
    <s v="GOLFO CENTRO"/>
  </r>
  <r>
    <n v="272"/>
    <s v="912"/>
    <s v="NOVIEMBRE"/>
    <d v="2025-11-18T00:00:00"/>
    <s v="SEDECO/CGI/TI/1360/2025_x000a_SDG/DGAP/11780/2025"/>
    <m/>
    <s v="Solicita atender a la C. Maria Felix Isguerra Romero quien solicita la ampliacion de la red eléctrica en su comunidad."/>
    <s v="ING. FRANCISCO"/>
    <d v="2025-11-21T00:00:00"/>
    <s v="SI"/>
    <s v="PARA SU ATENCIÓN_x000a_GESTIÓN_x000a_SDE-UCC-07209-25_x000a_SE DA RESPUESTA CON OFICIO AEEH-DG-1087-2025 ENVIADO AL PRESIDENTE MUNICIPAL DE MINERAL DE LA REFORMA "/>
    <x v="1"/>
    <x v="3"/>
    <x v="7"/>
    <m/>
    <m/>
    <m/>
    <m/>
  </r>
  <r>
    <n v="273"/>
    <s v="913"/>
    <s v="NOVIEMBRE"/>
    <d v="2025-11-19T00:00:00"/>
    <s v="SEDECO/CGI/TI/1365/2025_x000a_SDG/DGAP/11889/2025"/>
    <m/>
    <s v="Solicita atender al C. Vicente Cruz Andres, para la ampliación de la red eléctrica de su comunidad. "/>
    <s v="ING. FRANCISCO"/>
    <d v="2025-11-21T00:00:00"/>
    <s v="SI"/>
    <s v="PARA SU ATENCIÓN_x000a_GESTIÓN_x000a_SDE-UCC-07218-25_x000a_Se da respuesta con oficio AEEH/DG/1046/2025, de fecha 02 de diciembre enviado al Ing. Octavio Gómez Paulin"/>
    <x v="1"/>
    <x v="3"/>
    <x v="54"/>
    <s v="La Reforma "/>
    <m/>
    <m/>
    <s v="GOLFO CENTRO"/>
  </r>
  <r>
    <n v="274"/>
    <s v="914"/>
    <s v="NOVIEMBRE"/>
    <d v="2025-11-19T00:00:00"/>
    <s v="S/N"/>
    <m/>
    <s v="Cluster Energia, solicita establecer colaboración interinstitucional para impulsar un modelo de articulación y clusterización del sector energetico."/>
    <s v="ARQ. ORLANDO"/>
    <d v="2025-11-21T00:00:00"/>
    <s v="PROCESO"/>
    <m/>
    <x v="0"/>
    <x v="14"/>
    <x v="24"/>
    <m/>
    <m/>
    <m/>
    <m/>
  </r>
  <r>
    <n v="275"/>
    <s v="917"/>
    <s v="NOVIEMBRE"/>
    <d v="2025-11-19T00:00:00"/>
    <s v="COFOIN/0982/2025"/>
    <m/>
    <s v="Apoyo en la revisión del sistema de paneles solares intalado en las oficinas de la Corporación de Fomento de Infraestructura Industrial, derivado a trabajos de rehabilitación de losa."/>
    <s v="ING. FRANCISCO"/>
    <d v="2025-11-21T00:00:00"/>
    <s v="SI"/>
    <s v="PARA SU ATENCIÓN_x000a_GESTIÓN_x000a_SDE-AEEH-00324-25_x000a_Se da respuesta con oficio AEEH/DG/1010/2025, de fecha 21 de noviembre 2025, enviado a la Arq. Mariana Pérez García"/>
    <x v="1"/>
    <x v="6"/>
    <x v="1"/>
    <m/>
    <n v="1"/>
    <m/>
    <s v="CENTRO ORIENTE"/>
  </r>
  <r>
    <n v="276"/>
    <s v="918"/>
    <s v="NOVIEMBRE"/>
    <d v="2025-11-19T00:00:00"/>
    <s v="SEDECO/CGI/TI/1370/2025_x000a_SDG/DGAP/11943/2025"/>
    <m/>
    <s v="Solicita atender al C. Pedro Díaz Sánchez, quien solicita intervención a fin de revisar cobro con CFE, refiere que esta equivocado."/>
    <s v="ING. FRANCISCO"/>
    <d v="2025-11-21T00:00:00"/>
    <s v="SI"/>
    <s v="PARA SU ATENCIÓN_x000a_GESTIÓN_x000a_SDE-UCC-07220-25_x000a_SE DA RESPUESTA CON OFICIO AEEH-DG-1090-2025 ENVIADO AL ING. OCTAVIO GÓMEZ PAULIN "/>
    <x v="1"/>
    <x v="1"/>
    <x v="6"/>
    <m/>
    <n v="1"/>
    <m/>
    <s v="CENTRO ORIENTE"/>
  </r>
  <r>
    <n v="277"/>
    <s v="907"/>
    <s v="NOVIEMBRE"/>
    <d v="2025-11-14T00:00:00"/>
    <s v="PMA/PMA/603/2025"/>
    <m/>
    <s v="Invitación al taller de participación social el 19 de noviembre a las 10:00, sobre el capitulo introductorio, construcción social y caracterización del POEL."/>
    <s v="ARQ. DIEGO"/>
    <d v="2025-11-21T00:00:00"/>
    <s v="SI"/>
    <s v="Se decide no asistir por que la agencia no cuenta con estudios en esa zona"/>
    <x v="0"/>
    <x v="0"/>
    <x v="34"/>
    <m/>
    <n v="1"/>
    <m/>
    <m/>
  </r>
  <r>
    <n v="278"/>
    <s v="908"/>
    <s v="NOVIEMBRE"/>
    <d v="2025-11-18T00:00:00"/>
    <s v="ECO/247/2025"/>
    <m/>
    <s v="Invitación al taller de participación social para el pronostico del POEL, el 26 de noviembre a las 10:00."/>
    <s v="ARQ. DIEGO"/>
    <d v="2025-11-21T00:00:00"/>
    <s v="SI"/>
    <s v="Asiste Arq. Diego Alfredo Rosales torres"/>
    <x v="0"/>
    <x v="0"/>
    <x v="58"/>
    <m/>
    <n v="1"/>
    <m/>
    <m/>
  </r>
  <r>
    <n v="279"/>
    <s v="910"/>
    <s v="NOVIEMBRE"/>
    <d v="2025-11-19T00:00:00"/>
    <s v="PM-CAL-0447-2025"/>
    <m/>
    <s v="En respuesta al oficio AEEH/DG/973/2025, se informa que Pezmatlan ya fue considerada en el programa de ampliación de electrificación."/>
    <s v="ING. FRANCISCO"/>
    <d v="2025-11-21T00:00:00"/>
    <s v="SI"/>
    <s v="En respuesta al oficio AEEH/DG/973/2025, seguimiento del señor Fermin Cisneros Cisneros "/>
    <x v="0"/>
    <x v="3"/>
    <x v="11"/>
    <s v="Pezmatlan "/>
    <n v="1"/>
    <m/>
    <s v="GOLFO CENTRO"/>
  </r>
  <r>
    <n v="280"/>
    <s v="921"/>
    <s v="NOVIEMBRE"/>
    <d v="2025-11-21T00:00:00"/>
    <s v="SEDECO/CGI/TI/1374/2025 _x000a_UPLAPH/DESP/2985/2025"/>
    <m/>
    <s v="Plan Integral de Movilidad Urbana Sustentable de la Zona Metropolitana de Pachuca "/>
    <s v="ARQ. ORLANDO_x000a_ARQ. DIEGO"/>
    <d v="2025-11-21T00:00:00"/>
    <s v="SI"/>
    <s v="PARA SU ATENCIÓN_x000a_GESTIÓN_x000a_SDE-UCC-07214-25_x000a_SE DA RESPUESTA CON OFICIO AEEH-DG-1012-2025 ENVIADO AL ING. OCTAVIO GÓMEZ PAULIN "/>
    <x v="0"/>
    <x v="2"/>
    <x v="1"/>
    <m/>
    <n v="1"/>
    <m/>
    <s v="CENTRO ORIENTE"/>
  </r>
  <r>
    <n v="281"/>
    <s v="922"/>
    <s v="NOVIEMBRE"/>
    <d v="2025-11-21T00:00:00"/>
    <s v="PMHO-EX-614-2025"/>
    <m/>
    <s v="Invitación al taller de participación social del POEL, el 24 de noviembre a las 10:00."/>
    <s v="ARQ. DIEGO"/>
    <d v="2025-11-21T00:00:00"/>
    <s v="SI"/>
    <s v="Se decide no asistir por que la agencia no cuenta con estudios en esa zona"/>
    <x v="0"/>
    <x v="0"/>
    <x v="19"/>
    <m/>
    <n v="1"/>
    <m/>
    <m/>
  </r>
  <r>
    <n v="282"/>
    <s v="935"/>
    <s v="NOVIEMBRE"/>
    <d v="2025-11-27T00:00:00"/>
    <s v="FOO.08.UV/1416/2025"/>
    <s v="AEEH-2*1S/03-2025 DOCUMENTOS PARA CONOCIMIENTO "/>
    <s v="Vigencia de las obligaciones derivadas de las DACG de Balizado y ssitemas de GPS, emitidas por la Secretaría de Energía"/>
    <s v="ARQ. ORLANDO"/>
    <d v="2025-11-28T00:00:00"/>
    <s v="SI"/>
    <s v="Para su conocimiento "/>
    <x v="0"/>
    <x v="2"/>
    <x v="24"/>
    <m/>
    <n v="1"/>
    <m/>
    <m/>
  </r>
  <r>
    <n v="283"/>
    <s v="915"/>
    <s v="DICIEMBRE"/>
    <d v="2025-11-19T00:00:00"/>
    <s v="UPE/RECTORIA/548/2025"/>
    <m/>
    <s v="Invitación a participar en Expo Empleo y Conexión Sustentable/Educar para transformar con motivo de su 11er aniversario en la Universidad Politecnica de Energía el 10 de Diciembre a las 9:00 en Tula de Allende."/>
    <s v="ARQ. DIEGO"/>
    <d v="2025-12-01T00:00:00"/>
    <s v="SI"/>
    <s v="Asiste Arq. Diego Alfredo Rosales torres"/>
    <x v="0"/>
    <x v="0"/>
    <x v="40"/>
    <m/>
    <n v="1"/>
    <m/>
    <m/>
  </r>
  <r>
    <n v="284"/>
    <s v="937"/>
    <s v="DICIEMBRE"/>
    <d v="2025-11-28T00:00:00"/>
    <s v="SEDECO/CGI/TI/1400/2025_x000a_SDG/DGAP/12214/2025"/>
    <m/>
    <s v="Solicita atender a la C. Martha Díaz Garnica, quien solicita apoyo a fin de llevar a cabo la instalación de alumbrado público en su Colonia.  "/>
    <s v="ING. FRANCISCO"/>
    <d v="2025-12-01T00:00:00"/>
    <s v="PROCESO"/>
    <s v="PARA SU ATENCIÓN_x000a_GESTIÓN_x000a_SDE-UCC-07301-25_x000a_"/>
    <x v="1"/>
    <x v="5"/>
    <x v="14"/>
    <s v="La Pila"/>
    <n v="1"/>
    <m/>
    <s v="CENTRO ORIENTE"/>
  </r>
  <r>
    <n v="285"/>
    <s v="938"/>
    <s v="DICIEMBRE"/>
    <d v="2025-11-28T00:00:00"/>
    <s v="PMA/PMA/332/2025"/>
    <m/>
    <s v="Invitación al taller del POEL, el jueves 04 de Diciembre a las 10:00 en el Centro de Estudios Tecnológicos Indsutrial y de Servicios No. 26. "/>
    <s v="ARQ. DIEGO"/>
    <d v="2025-12-01T00:00:00"/>
    <s v="SI"/>
    <s v="Se decide no asistir por que la agencia no cuenta con estudios en esa zona"/>
    <x v="0"/>
    <x v="0"/>
    <x v="34"/>
    <m/>
    <m/>
    <m/>
    <m/>
  </r>
  <r>
    <n v="286"/>
    <s v="939"/>
    <s v="DICIEMBRE"/>
    <d v="2025-12-01T00:00:00"/>
    <s v="S/N"/>
    <m/>
    <s v="Invitación al taller de participación social del POEL, el martes 02 de de Diciembre a las 10:00 en el auditorio"/>
    <s v="ARQ. DIEGO"/>
    <d v="2025-12-01T00:00:00"/>
    <s v="SI"/>
    <s v="Se decide no asistir por que la agencia no cuenta con estudios en esa zona"/>
    <x v="0"/>
    <x v="0"/>
    <x v="59"/>
    <m/>
    <m/>
    <m/>
    <m/>
  </r>
  <r>
    <n v="287"/>
    <s v="940"/>
    <s v="DICIEMBRE"/>
    <d v="2025-12-01T00:00:00"/>
    <s v="PMHO-EX638-2025"/>
    <m/>
    <s v="Invitación al taller de participación social del POEL, el viernes 05 de de Diciembre a las 10:00 en el auditorio"/>
    <s v="ARQ. DIEGO"/>
    <d v="2025-12-01T00:00:00"/>
    <s v="SI"/>
    <s v="Se decide no asistir por que la agencia no cuenta con estudios en esa zona"/>
    <x v="0"/>
    <x v="0"/>
    <x v="19"/>
    <m/>
    <m/>
    <m/>
    <m/>
  </r>
  <r>
    <n v="288"/>
    <s v="943"/>
    <s v="DICIEMBRE"/>
    <d v="2025-12-01T00:00:00"/>
    <s v="SEDECO/CGI/TI/1402/2025_x000a_SDG/DGAP/12234/2025"/>
    <m/>
    <s v="Solicita atender a la C. Victoria Rivas Falcon, quien solicita la instalación y activación de un transformador de luz"/>
    <s v="ING. FRANCISCO"/>
    <d v="2025-12-01T00:00:00"/>
    <s v="PROCESO"/>
    <s v="PARA SU ATENCIÓN_x000a_GESTIÓN_x000a_SDE-UCC-07318-25_x000a_"/>
    <x v="1"/>
    <x v="8"/>
    <x v="63"/>
    <s v="AGUA FRIA GRANDE"/>
    <n v="1"/>
    <m/>
    <s v="DIVISION BAJIO"/>
  </r>
  <r>
    <n v="289"/>
    <s v="941"/>
    <s v="DICIEMBRE"/>
    <d v="2025-12-01T00:00:00"/>
    <s v="S/N"/>
    <m/>
    <s v="Solicitud de autorización de uso de derecho de vía "/>
    <s v="ARQ. ORLANDO_x000a_ING. FRANCISCO"/>
    <d v="2025-12-01T00:00:00"/>
    <s v="PROCESO"/>
    <m/>
    <x v="0"/>
    <x v="2"/>
    <x v="1"/>
    <m/>
    <m/>
    <m/>
    <s v="CENTRO ORIENTE"/>
  </r>
  <r>
    <n v="290"/>
    <s v="969"/>
    <s v="DICIEMBRE"/>
    <d v="2025-12-03T00:00:00"/>
    <s v="SMARNTR/228/2025"/>
    <m/>
    <s v="Invitación al taller de Participación Social &quot;Etapa de Propuesta&quot; el jueves 11 de diciembre a las 11:00 horas "/>
    <s v="ARQ. DIEGO"/>
    <d v="2025-12-03T00:00:00"/>
    <s v="SI"/>
    <s v="Se decide no asistir por que la agencia no cuenta con estudios en esa zona"/>
    <x v="0"/>
    <x v="2"/>
    <x v="49"/>
    <m/>
    <m/>
    <m/>
    <s v="CENTRO ORIENTE"/>
  </r>
  <r>
    <n v="291"/>
    <s v="970"/>
    <s v="DICIEMBRE"/>
    <d v="2025-12-03T00:00:00"/>
    <s v="SEDECO/CAyP/0095/2025"/>
    <s v="AEEH-2*1S/03-2025 DOCUMENTOS PARA CONOCIMIENTO "/>
    <s v="Circular para informar la fecha limite de ingreso de documentación a la ventanilla única con los asuntos relacionados a la Dirección General de Inspección y Vigilancia de Obras "/>
    <s v="ARQ. ORLANDO"/>
    <d v="2025-12-03T00:00:00"/>
    <s v="SI"/>
    <s v="Para su conocimiento _x000a_SDE-SSEV-00239-25"/>
    <x v="0"/>
    <x v="2"/>
    <x v="1"/>
    <m/>
    <m/>
    <m/>
    <s v="CENTRO ORIENTE"/>
  </r>
  <r>
    <n v="292"/>
    <s v="974"/>
    <s v="DICIEMBRE"/>
    <d v="2025-12-04T00:00:00"/>
    <s v="SEDECO/CAyP/DTyAD/ST/1624/2025_x000a_SOLICITUD 128825"/>
    <s v="AEEH-2*1S.3/04-2025  _x000a_PROYECTOS ENERGÉTICOS - DHMMA"/>
    <s v="Remitir de manera física y validada en SIGA, información sobre el proyecto del Parque Fotovoltaico que se pretende construir en Singuilucan y Epazoyucan "/>
    <s v="ARQ. ORLANDO"/>
    <d v="2025-12-05T00:00:00"/>
    <s v="SI"/>
    <s v="PARA SU ATENCIÓN_x000a_GESTIÓN_x000a_SDE-STR-00714-25_x000a_SE DA RESPUESTA CON OFICIO AEEH-DG-1092-2025 ENVIADO A LA MTRA. JESSICA ESPERANZA GONZÁLEZ DÍAZ _x000a_"/>
    <x v="0"/>
    <x v="2"/>
    <x v="1"/>
    <m/>
    <n v="1"/>
    <m/>
    <m/>
  </r>
  <r>
    <n v="293"/>
    <s v="977"/>
    <s v="DICIEMBRE"/>
    <d v="2025-12-05T00:00:00"/>
    <s v="UPLAPH/COEMERE/226/2025"/>
    <s v="AEEH-2*1S/10-2025 MEJORA REGULATORIA "/>
    <s v="Actualizar los campos en la plataforma AID-RUTS por cada servicio de la AEEH a mas tardar el 12 de Diciembre "/>
    <s v="LIC. ARELI_x000a_ING. FRANCISCO"/>
    <d v="2025-12-05T00:00:00"/>
    <s v="SI"/>
    <s v="Se actualizaron todas las celdas solicitadas y se dio respuesta con el oficio AAEH/DPIE/057/2025"/>
    <x v="0"/>
    <x v="2"/>
    <x v="2"/>
    <m/>
    <n v="1"/>
    <m/>
    <m/>
  </r>
  <r>
    <n v="294"/>
    <s v="981"/>
    <s v="DICIEMBRE"/>
    <d v="2025-12-05T00:00:00"/>
    <s v="ECO/291/2025"/>
    <m/>
    <s v="Invitación al taller de participación social para la propuesta del programa de ordenamiento ecologico local, el 10 de Diciembre "/>
    <s v="ARQ. DIEGO"/>
    <d v="2025-12-08T00:00:00"/>
    <s v="SI"/>
    <s v="Se decide no asistir por que Arq. Diego impartirá una capacitacion en la Universidad Politecnica de la Energia en Tula de Allende "/>
    <x v="0"/>
    <x v="2"/>
    <x v="58"/>
    <m/>
    <m/>
    <m/>
    <m/>
  </r>
  <r>
    <n v="295"/>
    <s v="984"/>
    <s v="DICIEMBRE"/>
    <d v="2025-12-09T00:00:00"/>
    <s v="SEDECO/CGI/TI/1426/2025_x000a_SDG/DGAP/12422/2025"/>
    <m/>
    <s v="Solicita atender al C. Nicasio G. Ambrosio Pérez, quien solicita apoyo para regularizar una toma de energia electrica con un adeudo de $40,000.00"/>
    <s v="ING. FRANCISCO"/>
    <d v="2025-12-10T00:00:00"/>
    <s v="PROCESO"/>
    <s v="PARA SU ATENCIÓN_x000a_GESTIÓN_x000a_SDE-UCC-07372-25_x000a_"/>
    <x v="1"/>
    <x v="1"/>
    <x v="41"/>
    <s v="San Antonio Sabanillas"/>
    <n v="1"/>
    <m/>
    <s v="DIVISION BAJIO"/>
  </r>
  <r>
    <n v="296"/>
    <s v="985"/>
    <s v="DICIEMBRE"/>
    <d v="2025-12-09T00:00:00"/>
    <s v="SEDECO/CGI/TI/1425/2025_x000a_SDG/DGAP/12411/2025"/>
    <m/>
    <s v="Solicita atender al C. Jose Felipe Jiménez Viveros, para reubicar un poste inclinado en su propiedad y no puede contruir."/>
    <s v="ING. FRANCISCO"/>
    <d v="2025-12-10T00:00:00"/>
    <s v="PROCESO"/>
    <s v="PARA SU ATENCIÓN_x000a_GESTIÓN_x000a_SDE-UCC-07359-25_x000a_"/>
    <x v="1"/>
    <x v="10"/>
    <x v="1"/>
    <m/>
    <m/>
    <m/>
    <s v="CENTRO ORIENTE"/>
  </r>
  <r>
    <n v="297"/>
    <s v="991"/>
    <s v="DICIEMBRE"/>
    <d v="2025-12-12T00:00:00"/>
    <s v="S/N"/>
    <m/>
    <s v="Respuesta a oficio AEEH/DG/837/2025, informa que localidades serán consideradas para los puntos de acceso a internet gratuito "/>
    <s v="ARQ. DIEGO"/>
    <d v="2025-12-12T00:00:00"/>
    <s v="PROCESO"/>
    <m/>
    <x v="0"/>
    <x v="11"/>
    <x v="1"/>
    <m/>
    <m/>
    <m/>
    <s v="CENTRO ORIENTE"/>
  </r>
  <r>
    <n v="298"/>
    <s v="994"/>
    <s v="DICIEMBRE"/>
    <s v="11/12/2025_x000a_12/12/2025"/>
    <s v="S/N"/>
    <m/>
    <s v="Solicitud de restablecimiento de red de distribución de energía eléctrica, reubicación de postes, ampliación de red de distribución eléctrica, mantenimiento de la infraestructura  "/>
    <s v="ARQ. ORLANDO"/>
    <d v="2025-12-12T00:00:00"/>
    <s v="PROCESO"/>
    <m/>
    <x v="0"/>
    <x v="6"/>
    <x v="48"/>
    <s v="Tlacolula"/>
    <m/>
    <m/>
    <s v="GOLFO CENTRO"/>
  </r>
  <r>
    <n v="299"/>
    <s v="993"/>
    <s v="DICIEMBRE"/>
    <s v="12/12/2025_x000a_12/12/2025"/>
    <s v="SEDECO/CGI/TI/1449/2025_x000a_UPLAPH/DESP/3169/2025"/>
    <m/>
    <s v="Solicita atender al Ayuntamiento de Tenango de Doria para atender los daños ocasionados en infraestructura eléctrica derivado del Huracan Priscila "/>
    <s v="ING. FRANCISCO"/>
    <d v="2025-12-15T00:00:00"/>
    <s v="SI"/>
    <s v="PARA SU ATENCIÓN_x000a_GESTIÓN_x000a_SDE-UCC-07400-25_x000a_SE DA RESPUESTA CON OFICIO AEEH-DG-1086-2025 ENVIADO EL SUPERINTENDENTE DE LA CFE DISTRIBUCIÓN ZONA HUEJUTLA "/>
    <x v="1"/>
    <x v="6"/>
    <x v="32"/>
    <m/>
    <n v="1"/>
    <m/>
    <s v="GOLFO CENTRO"/>
  </r>
  <r>
    <n v="300"/>
    <s v="999"/>
    <s v="DICIEMBRE"/>
    <s v="16/12/2025_x000a_17/12/2025"/>
    <s v="11002-1225"/>
    <m/>
    <s v="Oficio vecinal y exposición de riesgos respecto a la construcción y operación de una gasera  "/>
    <s v="ING. FRANCISCO"/>
    <d v="2025-12-17T00:00:00"/>
    <s v="PROCESO"/>
    <m/>
    <x v="0"/>
    <x v="15"/>
    <x v="14"/>
    <s v="Paseos de Chavarria "/>
    <m/>
    <m/>
    <m/>
  </r>
  <r>
    <n v="301"/>
    <s v="1002"/>
    <s v="DICIEMBRE"/>
    <s v="18/12/2025_x000a_22/12/2025"/>
    <s v="SEDECO/CAyP/0102/2025"/>
    <m/>
    <s v="IMCO y AMSDE, solicitan llenar un cuestionario en google, respecto a las experiencias, avances, y retos del sector económico "/>
    <s v="ARQ. ORLANDO"/>
    <d v="2025-12-22T00:00:00"/>
    <s v="PROCESO"/>
    <m/>
    <x v="0"/>
    <x v="2"/>
    <x v="1"/>
    <m/>
    <m/>
    <m/>
    <m/>
  </r>
  <r>
    <n v="302"/>
    <s v="1003"/>
    <s v="DICIEMBRE"/>
    <s v="18/12/2025_x000a_22/12/2025"/>
    <s v="02"/>
    <m/>
    <s v="La Dirección Jurídica, informa el proceso de remisión de documentos a fin de mejorar la eficiencia del proceso y acortar tiempos de respuesta "/>
    <s v="ARQ. ORLANDO_x000a_ING. FRANCISCO_x000a_ING. SANDRA_x000a_ARQ. DIEGO _x000a_LIC. ARELI"/>
    <d v="2025-12-22T00:00:00"/>
    <s v="SI"/>
    <s v="SE FIRMA DE ENTERADO POR TODO LOS INTEGRANTES DE LA DIRECCIÓN "/>
    <x v="0"/>
    <x v="2"/>
    <x v="1"/>
    <m/>
    <n v="1"/>
    <m/>
    <s v="CENTRO ORIENTE"/>
  </r>
</pivotCacheRecords>
</file>

<file path=xl/pivotCache/pivotCacheRecords2.xml><?xml version="1.0" encoding="utf-8"?>
<pivotCacheRecords xmlns="http://schemas.openxmlformats.org/spreadsheetml/2006/main" xmlns:r="http://schemas.openxmlformats.org/officeDocument/2006/relationships" count="152">
  <r>
    <n v="1"/>
    <s v="021"/>
    <x v="0"/>
    <d v="2026-01-21T00:00:00"/>
    <s v="SEDECO/CGI/0013/2026"/>
    <s v="AEEH-2*1S/08-2026_x000a_SOLICITUDES DE LA DIRECCIÓN DE ATENCIÓN AL PUEBLO  "/>
    <s v="DESIGNAR UN ENLACE PARA EL SEGUIMIENTO Y RESOLUCIÓN DE LAS SOLICITUDES DE LA DIRECCIÓN DE ATENCIÓN AL PUEBLO "/>
    <s v="LIC. ARELI"/>
    <s v="BAJO"/>
    <d v="2026-01-21T00:00:00"/>
    <s v="SI"/>
    <s v="SDE-CGI-00202-26"/>
    <s v="AEEH/DG/052/2026, DE FECHA 23/01/2026, ENVIADO AL ING. OCTAVIO GÓMEZ PAULIN, COORDINADOR DE GESTIÓN INSTITUCIONAL "/>
    <s v="N/A"/>
    <s v="N/A"/>
    <x v="0"/>
    <s v="N/A"/>
    <s v="N/A"/>
    <s v="N/A"/>
    <s v="N/A"/>
    <s v="N/A"/>
    <s v="DEPENDENCIA ESTATAL "/>
    <s v="OTRAS INSTANCIAS"/>
    <x v="0"/>
    <x v="0"/>
    <m/>
    <x v="0"/>
    <s v="771 688 6026"/>
    <s v="octavio.gomez@hidalgo.gob.mx"/>
    <n v="1"/>
    <n v="1"/>
    <n v="0"/>
    <s v="N/A"/>
    <s v="N/A"/>
  </r>
  <r>
    <n v="2"/>
    <s v="039"/>
    <x v="0"/>
    <d v="2026-01-20T00:00:00"/>
    <s v="UPLAPH/COEMERE/013/2026"/>
    <s v="AEEH-2*1S/04-2026 _x000a_MEJORA REGULATORIA "/>
    <s v="LA COEMERE SOLICITA ELABORAR LA ACTUALIZACIÓN DEL CIERRE DEL PROGRAMA ANUAL DE MEJORA REGULATORIA 2025 EN LA PLATAFORMA AID-RUTS"/>
    <s v="LIC. ARELI_x000a_ING. FRANCISCO"/>
    <s v="ALTO"/>
    <d v="2026-01-21T00:00:00"/>
    <s v="SI"/>
    <s v="N/A"/>
    <s v="AEEH/DG/055/2026, DE FECHA 26/01/2026, ENVIADO AL MTRO. ANDRÉS MANNING NOVALES, TITULAR DE LA COEMERE "/>
    <s v="N/A"/>
    <s v="N/A"/>
    <x v="0"/>
    <s v="N/A"/>
    <s v="N/A"/>
    <s v="N/A"/>
    <s v="N/A"/>
    <s v="N/A"/>
    <s v="DEPENDENCIA ESTATAL "/>
    <s v="OTRAS INSTANCIAS"/>
    <x v="0"/>
    <x v="1"/>
    <m/>
    <x v="0"/>
    <s v="771 715 6672"/>
    <s v="dependencias.coemere@hidalgo.gob.mx"/>
    <n v="1"/>
    <n v="1"/>
    <n v="0"/>
    <s v="N/A"/>
    <s v="N/A"/>
  </r>
  <r>
    <n v="3"/>
    <s v="022"/>
    <x v="0"/>
    <d v="2026-01-23T00:00:00"/>
    <s v="SDG/DGAP/113/2026_x000a_SEDECO/CGI/TI/0027/2026"/>
    <s v="AEEH-2*1S.1/01-2026_x000a_ASESORIAS EN MATERIA ENERGÉTICA (VARIOS MUNICIPIOS)"/>
    <s v="SOLICITA ATENDER A LA C. ANASTACIA MARTÍNEZ CORDERO, QUIEN SOLICITA APOYO PARA REUBICAR UN POSTE DE LUZ UBICADO DENTRO DE LA ESCUELA PRIMARIA &quot;BENITO JUAREZ&quot;"/>
    <s v="ING. FRANCISCO"/>
    <s v="MEDIO"/>
    <d v="2026-01-26T00:00:00"/>
    <s v="SI"/>
    <s v="SDE-UCC-07557-26"/>
    <s v="AEEH/DG/092/2026, DE FECHA 09/02/2026, ENVIADO AL ING. OCTAVIO GÓMEZ PAULIN, COORDINADOR DE GESTIÓN INSTITUCIONAL _x000a_"/>
    <s v="SI"/>
    <s v="AEEH/DG/083/2026, DE FECHA 06/02/2026, ENVIADO AL ING. ALEJANDRO YUSULMAN HERNÁNDEZ LEAL DE CFE"/>
    <x v="1"/>
    <s v="N/A"/>
    <s v="N/A"/>
    <s v="N/A"/>
    <s v="N/A"/>
    <s v="N/A"/>
    <s v="CIUDADANO (A)"/>
    <s v="ATENCIÓN AL PUEBLO"/>
    <x v="1"/>
    <x v="2"/>
    <s v="JILIAPAN"/>
    <x v="1"/>
    <s v="772 117 4762"/>
    <s v="anamaco_10yahoo.com.mx"/>
    <n v="1"/>
    <n v="150"/>
    <n v="600"/>
    <s v="DIVISION BAJIO"/>
    <s v="ZONA IXMIQUILPAN"/>
  </r>
  <r>
    <n v="4"/>
    <s v="023"/>
    <x v="0"/>
    <d v="2026-01-23T00:00:00"/>
    <s v="SDG/DGAP/119/2026_x000a_SEDECO/CGI/TI/0028/2026"/>
    <s v="AEEH-2*1S.1/01-2026_x000a_ASESORIAS EN MATERIA ENERGÉTICA (VARIOS MUNICIPIOS)"/>
    <s v="SOLICITA SE LE DE ATENCIÓN AL C. EDUARDO MONTES CUELLAR , QUIEN SOLICITA APOYO PARA DAR CONTINUIDAD A LA AMPLIACIÓN DE RED ELÉCTRICA DE SU CALLE "/>
    <s v="ING. FRANCISCO"/>
    <s v="MEDIO"/>
    <d v="2026-01-26T00:00:00"/>
    <s v="SI"/>
    <s v="SDE-UCC-07558-26"/>
    <s v="AEEH/DG/080/2026, DE FECHA 05/02/2026, ENVIADO AL ING. OCTAVIO GÓMEZ PAULIN, COORDINADOR DE GESTIÓN INSTITUCIONAL _x000a_CERRADA"/>
    <s v="NO"/>
    <s v="N/A"/>
    <x v="0"/>
    <s v="N/A"/>
    <s v="N/A"/>
    <s v="N/A"/>
    <s v="N/A"/>
    <s v="N/A"/>
    <s v="CIUDADANO (A)"/>
    <s v="ATENCIÓN AL PUEBLO"/>
    <x v="2"/>
    <x v="3"/>
    <s v="LA NUEZ"/>
    <x v="0"/>
    <s v="772 119 5254"/>
    <m/>
    <n v="1"/>
    <n v="26"/>
    <n v="104"/>
    <s v="DIVISION BAJIO"/>
    <s v="ZONA IXMIQUILPAN"/>
  </r>
  <r>
    <n v="5"/>
    <s v="075"/>
    <x v="0"/>
    <d v="2026-01-29T00:00:00"/>
    <s v="SH-SI-DGR-DCU-165/2026"/>
    <s v="AEEH-2*1S.4/02-2023_x000a_PROPUESTA DE PROYECTO ELECTROLINERAS EN EL ESTADO DE HIDALGO "/>
    <s v="RESPUESTA AL OFICIO AEEH/DG/019/2026, INFORMA EL NÚMERO DE UNIDADES HÍBRIDAS, ELÉCTRICOS Y PLUG-IN EN EL ESTADO "/>
    <s v="ING. SANDRA"/>
    <s v="BAJO"/>
    <d v="2026-01-29T00:00:00"/>
    <s v="SI"/>
    <s v="N/A"/>
    <s v="DE CONOCIMIENTO, SE ARCHIVA PARA CONSULTA INTERNA "/>
    <s v="N/A"/>
    <s v="N/A"/>
    <x v="0"/>
    <s v="N/A"/>
    <s v="N/A"/>
    <s v="N/A"/>
    <s v="N/A"/>
    <s v="N/A"/>
    <s v="DEPENDENCIA ESTATAL "/>
    <s v="OTRAS INSTANCIAS"/>
    <x v="0"/>
    <x v="0"/>
    <m/>
    <x v="1"/>
    <s v="771 717 6000 Ext. 2409"/>
    <m/>
    <n v="1"/>
    <n v="1"/>
    <n v="0"/>
    <s v="N/A"/>
    <s v="N/A"/>
  </r>
  <r>
    <n v="6"/>
    <s v="079"/>
    <x v="0"/>
    <d v="2026-01-30T00:00:00"/>
    <s v="S/N"/>
    <s v="AEEH-2*1S.1/01-2026_x000a_ASESORIAS EN MATERIA ENERGÉTICA (VARIOS MUNICIPIOS)"/>
    <s v="LA C. BENITA VELASCO VITE, SOLICITA GESTIÓN ANTE CFE PARA LA CONTRATACIÓN DE SERVICIO Y AMPLIACIÓN DE ENERGÍA ELÉCTRICA EN SU DOMICILIO"/>
    <s v="ING. FRANCISCO"/>
    <s v="MEDIO"/>
    <d v="2026-01-30T00:00:00"/>
    <s v="SI"/>
    <s v="N/A"/>
    <s v="EL 03 DE FEBRERO, SE ENVIÓ UN 1ER. CORREO ELECTRONICO A LA CIUDADANA PARA SOLICITAR INFORMACIÓN TÉCNICA. _x000a_EL 05 DE FEBRERO, SE ENVIÓ UN 2DO. CORREO ELECTRONICO A LA CIUDADANA PARA SOLICITAR INFORMACIÓN TÉCNICA. _x000a_EL 13 DE FEBRERO, SE ENVIÓ UN 3ER. CORREO ELECTRONICO A LA CIUDADANA PARA SOLICITAR INFORMACIÓN TÉCNICA. _x000a_NINGUNO DE LOS 3 CORREOS FUE ATENDIDO_x000a_CERRADA"/>
    <s v="NO"/>
    <s v="N/A"/>
    <x v="0"/>
    <s v="N/A"/>
    <s v="N/A"/>
    <s v="N/A"/>
    <s v="N/A"/>
    <s v="N/A"/>
    <s v="CIUDADANO (A)"/>
    <s v="OTRAS INSTANCIAS"/>
    <x v="2"/>
    <x v="4"/>
    <s v="SANTA CRUZ"/>
    <x v="1"/>
    <n v="7711800300"/>
    <s v="velascovite1974@gmail.com"/>
    <n v="1"/>
    <n v="1"/>
    <n v="4"/>
    <s v="CENTRO ORIENTE"/>
    <s v="ZONA PACHUCA"/>
  </r>
  <r>
    <n v="7"/>
    <s v="068"/>
    <x v="1"/>
    <d v="2026-02-04T00:00:00"/>
    <s v="S/N"/>
    <s v="AEEH-2*1S.5/01-2026_x000a_ENERGIA REGIONAL "/>
    <s v="ENERGIA REGIONAL SOLICITA AUDIENCIA PARA PRESENTAR LA PROPUESTA &quot;ESTUDIO TÉCNICO JUSTIFICATIVO PARA LA INSCRIPCIÓN DE PROYECTOS DE ELECTRICIDAD EN LA PLANEACIÓN VINCULANTE&quot;"/>
    <s v="ARQ. ORLANDO"/>
    <s v="ALTO"/>
    <d v="2026-02-04T00:00:00"/>
    <s v="SI"/>
    <s v="SDE-UCC-07705-26"/>
    <s v=" AEEH/DG/319/2026, DE FECHA 10/04/2026, ENVIADO AL ING. OCTAVIO GOMEZ PAULIN, COORDINADOR DE GESTÍON INSTITUCIONAL_x000a_ARQ. ORLANDO SE CONECTA A LA REUNIÓN CON EL C. MIGUEL ÁNGEL HORTA MARTIN "/>
    <s v="N/A"/>
    <s v="N/A"/>
    <x v="0"/>
    <s v="N/A"/>
    <s v="N/A"/>
    <s v="N/A"/>
    <s v="N/A"/>
    <s v="N/A"/>
    <s v="EMPRESA PRIVADA "/>
    <s v="OTRAS INSTANCIAS"/>
    <x v="0"/>
    <x v="5"/>
    <m/>
    <x v="0"/>
    <s v="55 41 77 30 76"/>
    <s v="miguel.horta@eregional.com.mx"/>
    <n v="1"/>
    <n v="1"/>
    <n v="0"/>
    <s v="N/A"/>
    <s v="N/A"/>
  </r>
  <r>
    <n v="8"/>
    <s v="076"/>
    <x v="1"/>
    <d v="2026-02-04T00:00:00"/>
    <s v="SDPEE/0044/2026_x000a_SEDECO/CGI/TI/0107/2026"/>
    <s v="AEEH-2*1S.5/01-2026_x000a_ENERGIA REGIONAL "/>
    <s v="BRINDAR ATENCIÓN  AL DIRECTOR DE PROYECTOS DE ENERGÍA REGIONAL, QUIEN DESEA PRESENTAR UN PROYECTO DE ELECTRICIDAD "/>
    <s v="ARQ. ORLANDO"/>
    <s v="ALTO"/>
    <d v="2026-02-04T00:00:00"/>
    <s v="SI"/>
    <s v="SDE-UCC-07705-26"/>
    <s v="AEEH/DG/319/2026, DE FECHA 10/04/2026, ENVIADO AL ING. OCTAVIO GOMEZ PAULIN, COORDINADOR DE GESTÍON INSTITUCIONAL_x000a_ARQ. ORLANDO SE CONECTA A LA REUNIÓN CON EL C. MIGUEL ÁNGEL HORTA MARTIN "/>
    <s v="N/A"/>
    <s v="N/A"/>
    <x v="0"/>
    <s v="N/A"/>
    <s v="N/A"/>
    <s v="N/A"/>
    <s v="N/A"/>
    <s v="N/A"/>
    <s v="EMPRESA PRIVADA "/>
    <s v="OTRAS INSTANCIAS"/>
    <x v="0"/>
    <x v="5"/>
    <m/>
    <x v="0"/>
    <s v="55 41 77 30 76"/>
    <s v="miguel.horta@eregional.com.mx"/>
    <n v="1"/>
    <n v="1"/>
    <n v="0"/>
    <s v="N/A"/>
    <s v="N/A"/>
  </r>
  <r>
    <n v="9"/>
    <s v="013"/>
    <x v="1"/>
    <d v="2026-02-04T00:00:00"/>
    <s v="SEMARNATH/DESP/DGOET-748/2026"/>
    <s v="AEEH-2*1S.4/01-2026 PROMOCIONES TÉCNICAS EN MATERIA ENERGÉTICA (POELP)"/>
    <s v="PROPORCIONAR PLANES, PROGRAMAS Y PROYECTOS A DESARROLLAR A CORTO, MEDIANO Y LARGO PLAZO, A EFECTO DE VALORAR SU IMPACTO EN LA ZONA DE ESTUDIO Y ASÍ FORMULAR EL POEL EN ATITALAQUIA, AJACUBA, HUASCA DE OCAMPO, TEPEJÍ DEL RÍO, TLAXCOAPAN Y SAN SALVADOR."/>
    <s v="ARQ. DIEGO"/>
    <s v="ALTO"/>
    <d v="2026-02-04T00:00:00"/>
    <s v="SI"/>
    <s v="N/A"/>
    <s v="SE ELABORÓ UNA TARJETA INFORMATIVA DE FECHA 16/02/2026 SOBRE LA CONSULTA PÚBLICA DE LOS POEL. POEL - SEMARNATH"/>
    <s v="N/A"/>
    <s v="N/A"/>
    <x v="0"/>
    <s v="N/A"/>
    <s v="N/A"/>
    <s v="N/A"/>
    <s v="N/A"/>
    <s v="N/A"/>
    <s v="DEPENDENCIA ESTATAL "/>
    <s v="OTRAS INSTANCIAS"/>
    <x v="0"/>
    <x v="0"/>
    <m/>
    <x v="1"/>
    <s v="771 714 1056"/>
    <m/>
    <n v="1"/>
    <n v="1"/>
    <n v="0"/>
    <s v="N/A"/>
    <s v="N/A"/>
  </r>
  <r>
    <n v="10"/>
    <s v="082"/>
    <x v="1"/>
    <d v="2026-02-04T00:00:00"/>
    <s v="SEMARNATH/DESP-0047/2026"/>
    <s v="AEEH-2*1S.4/03-2026_x000a_GRUPO DE TRABAJO &quot;PROYECTOS AMBIENTALES EN ZONAS VULNERABLES ENTE EL CAMBIO CLIMATICO&quot;"/>
    <s v="INFORMAR ACCIONES DE INTERVENCIÓN REALIZADAS EN LA ATENCIÓN DEL EVENTO METEÓROLOGICO, LECCIONES APRENDIDAS, ACCIONES DE CARÁCTER PREVENTIVO PARA EVITAR AFECTACIONES "/>
    <s v="ARQ. ORLANDO"/>
    <s v="ALTO"/>
    <d v="2026-01-30T00:00:00"/>
    <s v="SI"/>
    <s v="N/A"/>
    <s v="EN FEBRERO 2026, SE ELABORÓ UN INFORME REDACTANDO LA ATENCIÓN A LA VAGUADA MONZÓNICA EN TIANGUISTENGO "/>
    <s v="N/A"/>
    <s v="N/A"/>
    <x v="0"/>
    <s v="N/A"/>
    <s v="N/A"/>
    <s v="N/A"/>
    <s v="N/A"/>
    <s v="N/A"/>
    <s v="DEPENDENCIA ESTATAL "/>
    <s v="OTRAS INSTANCIAS"/>
    <x v="0"/>
    <x v="0"/>
    <m/>
    <x v="1"/>
    <s v="771 714 1056"/>
    <m/>
    <n v="1"/>
    <n v="1"/>
    <n v="0"/>
    <s v="N/A"/>
    <s v="N/A"/>
  </r>
  <r>
    <n v="11"/>
    <s v="083"/>
    <x v="1"/>
    <d v="2026-02-04T00:00:00"/>
    <s v="MHH/EMA/003/2026"/>
    <s v="AEEH-2*1S.4/01-2026 PROMOCIONES TÉCNICAS EN MATERIA ENERGÉTICA (POELP)"/>
    <s v="INVITACIÓN AL TALLER DE PARTICIPACIÓN SOCIAL DEL POELP, EL DÍA 11 DE FEBRERO A LAS 11:00 HORAS"/>
    <s v="ARQ. DIEGO"/>
    <s v="ALTO"/>
    <d v="2026-02-04T00:00:00"/>
    <s v="SI"/>
    <s v="SDE-AEEH-00352-26"/>
    <s v="EL AYUNTAMIENTO INFORMO MEDIANTE CORREO ELECTRONICO DE FECHA 10 DE FEBRERO, LA CANCELACIÓN DEL TERCER TALLER DE PARTICIPACIÓN SOCIAL DEBIDO A CIRCUNSTANCIAS IMPREVISTAS Y FUERA DE SU CONTROL._x000a__x000a_"/>
    <s v="N/A"/>
    <s v="N/A"/>
    <x v="0"/>
    <s v="N/A"/>
    <s v="SI"/>
    <s v="AEEH/DG/104/2026, DE FECHA 11/02/2026, ENVIADO A LA MTRA. VANESSA MEJÍA HERNÁNDEZ, PRESIDENTA MUNICIPAL DE HUAZALINGO"/>
    <s v="NO"/>
    <s v="N/A"/>
    <s v="AYUNTAMIENTO  "/>
    <s v="OTRAS INSTANCIAS"/>
    <x v="0"/>
    <x v="6"/>
    <m/>
    <x v="1"/>
    <s v="771 130 9078"/>
    <s v="ecologia.2024.huazalingo@gmail.com"/>
    <n v="1"/>
    <n v="1"/>
    <n v="0"/>
    <s v="N/A"/>
    <s v="N/A"/>
  </r>
  <r>
    <n v="12"/>
    <s v="089"/>
    <x v="1"/>
    <d v="2026-02-04T00:00:00"/>
    <s v="UPLAPH/COEMERE/105/2026"/>
    <s v="AEEH-2*1S/04-2026 _x000a_MEJORA REGULATORIA "/>
    <s v="DESIGNACIÓN O RATIFICACIÓN DE LOS ENLACES ANTE LA COMISIÓN DE MEJORA REGULATORIA "/>
    <s v="LIC. ARELI"/>
    <s v="ALTO"/>
    <d v="2026-02-04T00:00:00"/>
    <s v="SI"/>
    <s v="N/A"/>
    <s v="AEEH/DG/077/2026, DE FECHA 05/02/2026, ENVIADO AL MTRO. ANDRÉS MANNING NOVALES_x000a_AEEH/DG/085-1/2026, DE FECHA 06/02/2026, ENVIADO A ARQ. ORLANDO MARTÍNEZ JUÁREZ_x000a_AEEH/DG/085-2/2026, DE FECHA 06/02/2026, ENVIADO A ING. FRANCISCO JAVIER GARCÍA VILLALPA_x000a_AEEH/DG/085-3/2026, DE FECHA 06/02/2026, ENVIADO A LIC. EVA BERENICE RAMÍREZ PÉREZ_x000a_AEEH/DG/085-4/2026, DE FECHA 06/02/2026, ENVIADO A LIC. CARLOS LÓPEZ ESPINOSA"/>
    <s v="N/A"/>
    <s v="N/A"/>
    <x v="0"/>
    <s v="N/A"/>
    <s v="N/A"/>
    <s v="N/A"/>
    <s v="N/A"/>
    <s v="N/A"/>
    <s v="DEPENDENCIA ESTATAL "/>
    <s v="OTRAS INSTANCIAS"/>
    <x v="0"/>
    <x v="1"/>
    <m/>
    <x v="0"/>
    <s v="771 715 6672"/>
    <s v="dependencias.coemere@hidalgo.gob.mx"/>
    <n v="1"/>
    <n v="1"/>
    <n v="0"/>
    <s v="N/A"/>
    <s v="N/A"/>
  </r>
  <r>
    <n v="13"/>
    <s v="019"/>
    <x v="1"/>
    <d v="2026-02-05T00:00:00"/>
    <s v="SEMARNATH/DESP/DGCyPH-0762/2026_x000a_SEDECO/CGI/TI/0032/2026"/>
    <s v="AEEH-2*1S.4/04-2026_x000a_GRUPO DE TRABAJO PARA DIAGNOSTICO HIDRICO  Y ATENCIÓN REGIONAL POR ACUIFERO Y SUBCUENTAS"/>
    <s v="INVITACIÓN A LA REUNIÓN DE TRABAJO PARA ANALIZAR EL DIAGNÓSTICO HÍDRICO ESTATAL Y DEFINIR ESTRATEGIAS REGIONALES POR ACUIFERO, EL 11 DE FEBRERO EN SEMARNATH"/>
    <s v="ARQ. ORLANDO _x000a_ING. SANDRA"/>
    <s v="MEDIO"/>
    <d v="2026-02-05T00:00:00"/>
    <s v="SI"/>
    <s v="SDE-UCC-07560-26"/>
    <s v="SE ELABORA FICHA INFORMATIVA DEL PROYECTO: EFICIENCIA EERGÉTICA EN SISTEMAS DE BOMBEO DE AGUA POTABLE"/>
    <s v="N/A"/>
    <s v="N/A"/>
    <x v="0"/>
    <s v="N/A"/>
    <s v="N/A"/>
    <s v="N/A"/>
    <s v="N/A"/>
    <s v="N/A"/>
    <s v="DEPENDENCIA ESTATAL "/>
    <s v="OTRAS INSTANCIAS"/>
    <x v="0"/>
    <x v="0"/>
    <m/>
    <x v="0"/>
    <s v="771 688 6026"/>
    <s v="octavio.gomez@hidalgo.gob.mx"/>
    <n v="1"/>
    <n v="1"/>
    <n v="0"/>
    <s v="N/A"/>
    <s v="N/A"/>
  </r>
  <r>
    <n v="14"/>
    <s v="090"/>
    <x v="1"/>
    <d v="2026-02-06T00:00:00"/>
    <s v="SDPEE/DGAP/163/2026_x000a_SEDECO/CGI/TI/0121/2026"/>
    <s v="AEEH-2*1S.1/01-2026_x000a_ASESORIAS EN MATERIA ENERGÉTICA (VARIOS MUNICIPIOS)"/>
    <s v="ATEN DER AL C. DAVID RAMIREZ VALENCIA, QUIEN SOLICITA APOYO CON LA INSTALACIÓN DE ALUMBRADO PÚBLICO "/>
    <s v="ING. FRANCISCO"/>
    <s v="ALTO"/>
    <d v="2026-02-06T00:00:00"/>
    <s v="SI"/>
    <s v="SDE-UCC-07744-26"/>
    <s v="AEEH/DG/093/2026, DE FECHA 09/02/2026, ENVIADO AL ING. OCTAVIO GÓMEZ PAULIN._x000a_AEEH/DG/143/2026, DE FECHA 18/02/2026, ENVIADO AL ING. OCTAVIO GÓMEZ PAULIN._x000a_"/>
    <s v="NO"/>
    <s v="N/A"/>
    <x v="0"/>
    <s v="N/A"/>
    <s v="SI"/>
    <s v="OFICIO AEEH/DG/154/2026, DE FECHA 23/02/2026, ENVIADO A LA C. ABRIL MARTÍNEZ PORTILLO, PRESIDENTA MUNICIPAL DE TLANALAPA"/>
    <s v="NO"/>
    <s v="N/A"/>
    <s v="CIUDADANO (A)"/>
    <s v="ATENCIÓN AL PUEBLO"/>
    <x v="3"/>
    <x v="7"/>
    <s v="TLANALAPA"/>
    <x v="0"/>
    <s v="771 112 2551"/>
    <s v="davidramval7@gmail.com"/>
    <n v="1"/>
    <n v="71"/>
    <n v="284"/>
    <s v="CENTRO ORIENTE"/>
    <s v="ZONA TULANCINGO"/>
  </r>
  <r>
    <n v="15"/>
    <s v="102"/>
    <x v="1"/>
    <d v="2026-02-06T00:00:00"/>
    <s v="S/N"/>
    <s v="ARQ ORLANDO "/>
    <s v="INVITACIÓN A LA EXPO RE + MÉXICO Y ECOMONDO DEL 14 AL 16 DE ABRIL EN GUADALAJARA "/>
    <s v="ARQ. ORLANDO"/>
    <s v="BAJO"/>
    <d v="2026-02-06T00:00:00"/>
    <s v="SI"/>
    <s v="N/A"/>
    <s v="NO SE ASISTE A LA EXPO "/>
    <s v="N/A"/>
    <s v="N/A"/>
    <x v="0"/>
    <s v="N/A"/>
    <s v="N/A"/>
    <s v="N/A"/>
    <s v="N/A"/>
    <s v="N/A"/>
    <s v="EMPRESA PRIVADA "/>
    <s v="OTRAS INSTANCIAS"/>
    <x v="0"/>
    <x v="0"/>
    <m/>
    <x v="0"/>
    <m/>
    <m/>
    <n v="1"/>
    <n v="1"/>
    <n v="0"/>
    <s v="N/A"/>
    <s v="N/A"/>
  </r>
  <r>
    <n v="16"/>
    <s v="103"/>
    <x v="1"/>
    <d v="2026-02-06T00:00:00"/>
    <s v="SDPEE/DGAP/213/2026_x000a_SEDECO/CGI/TI/0124/2026"/>
    <s v="AEEH-2*1S.1/01-2026_x000a_ASESORIAS EN MATERIA ENERGÉTICA (VARIOS MUNICIPIOS)"/>
    <s v="ATENDER A LA C. MARÍA DE JESÚS VILLEGAS CERVANTES, PARA BENEFICIARLA CON ALUMBRADO PÚBLICO "/>
    <s v="ING. FRANCISCO"/>
    <s v="ALTO"/>
    <d v="2026-02-06T00:00:00"/>
    <s v="SI"/>
    <s v="SDE-UCC-07772-26"/>
    <s v="AEEH/DG/094/2026, DE FECHA 09/02/2026, ENVIADO AL ING. OCTAVIO GÓMEZ PAULIN._x000a_AEEH/DG/144/2026, DE FECHA 18/02/2026, ENVIADO AL ING. OCTAVIO GÓMEZ PAULIN._x000a_"/>
    <s v="N/A"/>
    <s v="N/A"/>
    <x v="0"/>
    <s v="N/A"/>
    <s v="SI"/>
    <s v="AEEH/DG/160/2026, DE FECHA 25/02/2026, ENVIADO AL MTRO. FRANCISCO SINUHÉ REMÍREZ OVIEDO, PRESIDENTE MUNICIPAL DE ZEMPOALA"/>
    <s v="NO"/>
    <s v="N/A"/>
    <s v="CIUDADANO (A)"/>
    <s v="ATENCIÓN AL PUEBLO"/>
    <x v="3"/>
    <x v="4"/>
    <s v="SAN JUAN TEPERNAZALCO"/>
    <x v="1"/>
    <s v="561 161 3676"/>
    <s v="villegascervantes120973@gmail.com"/>
    <n v="1"/>
    <n v="2"/>
    <n v="8"/>
    <s v="CENTRO ORIENTE"/>
    <s v="ZONA PACHUCA"/>
  </r>
  <r>
    <n v="17"/>
    <s v="108"/>
    <x v="1"/>
    <d v="2026-02-09T00:00:00"/>
    <s v="SDZDDH/00051/2026"/>
    <s v="AEEH-2*1S.1/02-2026_x000a_GESTIONES  A CFE"/>
    <s v="RESPUESTA AL OFICIO AEEH/DG/060/2026, SE AGENDA A REUNIÓN VIRTUAL CON CFE ZONA HUEJUTLA, EL 10 DE FEBRERO"/>
    <s v="ARQ. ORLANDO"/>
    <s v="MEDIO"/>
    <d v="2026-02-09T00:00:00"/>
    <s v="SI"/>
    <s v="N/A"/>
    <s v="EL ARQ. ORLANDO TUVO UNA REUNIÓN VIRTUAL CON EL ING. CARLOS ARTEAGA JIMÉNEZ DEL DEPARTAMENTO DE PLANEACIÓN DE LA CFE ZONA HUEJUTLA"/>
    <s v="SI"/>
    <s v="AEEH/DG/060/2026"/>
    <x v="2"/>
    <s v="SDZDDH/00051/2026"/>
    <s v="N/A"/>
    <s v="N/A"/>
    <s v="N/A"/>
    <s v="N/A"/>
    <s v="DEPENDENCIA FEDERAL  "/>
    <s v="OTRAS INSTANCIAS"/>
    <x v="0"/>
    <x v="8"/>
    <s v="N/A"/>
    <x v="0"/>
    <s v="789 893 3073 Ext. 28410"/>
    <s v="hugo.abundis@cfe.mx"/>
    <n v="1"/>
    <n v="1"/>
    <n v="0"/>
    <s v="GOLFO CENTRO"/>
    <s v="ZONA HUEJUTLA "/>
  </r>
  <r>
    <n v="18"/>
    <s v="109"/>
    <x v="1"/>
    <d v="2026-02-09T00:00:00"/>
    <s v="S/N"/>
    <s v="AEEH-2*1S/07-2026 _x000a_DOCUMENTOS PARA CONOCIMIENTO "/>
    <s v="ASESORÍA ARCHIVISTICA EL JUEVES 12 DE FEBRERO A LAS 15:30 HORAS EN LAS INSTALACIONES DEL ARCHIVO GENERAL DEL ESTADO  "/>
    <s v="LIC. ARELI"/>
    <s v="MEDIO"/>
    <d v="2026-02-09T00:00:00"/>
    <s v="SI"/>
    <s v="N/A"/>
    <s v="EL LIC. MARTIN, ENLACE DE ARCHIVO DE LA AEEH, ASISTE  A LA CAPACITACIÓN PARA LLEVAR EL PROCESO DE VALIDACIÓN DE SERIES ARCHIVISTICAS "/>
    <s v="N/A"/>
    <s v="N/A"/>
    <x v="0"/>
    <s v="N/A"/>
    <s v="N/A"/>
    <s v="N/A"/>
    <s v="N/A"/>
    <s v="N/A"/>
    <s v="DEPENDENCIA ESTATAL "/>
    <s v="OTRAS INSTANCIAS"/>
    <x v="0"/>
    <x v="0"/>
    <s v="N/A"/>
    <x v="1"/>
    <s v="771 7006476"/>
    <s v="arlenemm@hidalgo.gob.mx"/>
    <n v="1"/>
    <n v="1"/>
    <n v="0"/>
    <s v="N/A"/>
    <s v="N/A"/>
  </r>
  <r>
    <n v="19"/>
    <s v="071"/>
    <x v="1"/>
    <d v="2026-02-11T00:00:00"/>
    <s v="SEDECO/0073/2026"/>
    <s v="AEEH-2*1S/07-2026 _x000a_DOCUMENTOS PARA CONOCIMIENTO "/>
    <s v="INFORMAR GASTO DE INVERSIÓN, DISPOSICIONES GENERALES ALINEADOS AL MANUAL DE NORMAS Y LINEAMIENTOS PARA EL EJERCICIO DE LOS RECURSOS DEL GASTO DE INVERSIÓN VIGENTE"/>
    <s v="ARQ. ORLANDO"/>
    <s v="BAJO"/>
    <d v="2026-02-11T00:00:00"/>
    <s v="SI"/>
    <s v="SDE-SSEV-00249-26"/>
    <s v="DE CONOCIMIENTO _x000a_"/>
    <s v="N/A"/>
    <s v="N/A"/>
    <x v="0"/>
    <s v="N/A"/>
    <s v="N/A"/>
    <s v="N/A"/>
    <s v="N/A"/>
    <s v="N/A"/>
    <s v="DEPENDENCIA ESTATAL "/>
    <s v="OTRAS INSTANCIAS"/>
    <x v="0"/>
    <x v="0"/>
    <s v="N/A"/>
    <x v="0"/>
    <s v="771 688 6026"/>
    <m/>
    <n v="1"/>
    <n v="1"/>
    <n v="0"/>
    <s v="N/A"/>
    <s v="N/A"/>
  </r>
  <r>
    <n v="20"/>
    <s v="116"/>
    <x v="1"/>
    <d v="2026-02-11T00:00:00"/>
    <s v="SDPEE/DGAP/234/2026_x000a_SEDECO/CGI/TI/0124/2026"/>
    <s v="AEEH-2*1S.1/01-2026_x000a_ASESORIAS EN MATERIA ENERGÉTICA (VARIOS MUNICIPIOS)"/>
    <s v="SOLICITA ATENDER AL C. JUAN GUZMÁN EVARISTO, QUIEN SOLICITA APOYO PARA LA ADQUISICIÓN DE PANELES SOLARES PARA BALNEARIO DE SU COMUNIDAD"/>
    <s v="ING. FRANCISCO"/>
    <s v="ALTO"/>
    <d v="2026-02-11T00:00:00"/>
    <s v="SI"/>
    <s v="SDE-UCC-07785-26"/>
    <s v="AEEH/DG/145/2026, DE FECHA 18/02/2026, ENVIADO AL ING. OCTAVIO GÓMEZ PAULIN._x000a_AEEH/DG/153/2026, DE FECHA 23/02/2026, ENVIADO AL ING. OCTAVIO GÓMEZ PAULIN."/>
    <s v="N/A"/>
    <s v="N/A"/>
    <x v="0"/>
    <s v="N/A"/>
    <s v="N/A"/>
    <s v="N/A"/>
    <s v="N/A"/>
    <s v="N/A"/>
    <s v="CIUDADANO (A)"/>
    <s v="ATENCIÓN AL PUEBLO"/>
    <x v="4"/>
    <x v="9"/>
    <s v="SANTA MARÍA"/>
    <x v="0"/>
    <s v="771 203 8521"/>
    <s v="jorgedana178@gmail.com"/>
    <n v="1"/>
    <n v="1"/>
    <n v="4"/>
    <s v="GOLFO CENTRO"/>
    <s v="ZONA HUEJUTLA "/>
  </r>
  <r>
    <n v="21"/>
    <s v="125"/>
    <x v="1"/>
    <d v="2026-02-13T00:00:00"/>
    <s v="SEDECO/SIyES/015/2026"/>
    <s v="AEEH-2*1S.3/01-2026_x000a_DESARROLLO DE PROYECTOS DE INVERSIÓN (PLANEACIÓN VINCULANTE)"/>
    <s v="RESPUESTA A OFICIO AEEH/DG/079/2026, SE ENVÍA RELACIÒN DE MUNICIPIOS Y LOCALIDADES PARA PROYECTOS DE INVERSIÓN"/>
    <s v="ARQ. ORLANDO"/>
    <s v="MEDIO"/>
    <d v="2026-02-13T00:00:00"/>
    <s v="SI"/>
    <s v="SDE-AEEH-00348-26"/>
    <s v="DE CONOCIMIENTO "/>
    <s v="N/A"/>
    <s v="N/A"/>
    <x v="0"/>
    <s v="N/A"/>
    <s v="N/A"/>
    <s v="N/A"/>
    <s v="N/A"/>
    <s v="N/A"/>
    <s v="DEPENDENCIA ESTATAL "/>
    <s v="OTRAS INSTANCIAS"/>
    <x v="0"/>
    <x v="0"/>
    <m/>
    <x v="0"/>
    <s v="771 688 6026"/>
    <m/>
    <n v="1"/>
    <n v="1"/>
    <n v="0"/>
    <s v="N/A"/>
    <s v="N/A"/>
  </r>
  <r>
    <n v="22"/>
    <s v="126"/>
    <x v="1"/>
    <d v="2026-02-13T00:00:00"/>
    <s v="S/N"/>
    <s v="AEEH-2*1S.1/12-2025_x000a_ASESORIA - PARQUE INDUSTRIAL TEPEJI DEL RIO "/>
    <s v="SEGUIMIENTO AL PARQUE INDUSTRIAL DE TEPEJÍ DEL RÍO, ERIKA PATRICIA MENDOZA SOLICITA MEDICACIÓN CON CFE ZONA TULA PARA EL Vo. Bo. DEL DESECHO DELA VÍA DE LINEA DE ALTA TENSIÓN"/>
    <s v="ARQ. ORLANDO"/>
    <s v="BAJO"/>
    <d v="2026-02-13T00:00:00"/>
    <s v="SI"/>
    <s v="N/A"/>
    <s v="DE CONOCIMIENTO, GESTIÓN DEL AÑO 2025. EN 2026, SE REALIZA UNA REUNIÓN CON INTEGRANTES DE CFE, ARQ. DIEGO Y ARQ. DIEGO "/>
    <s v="N/A"/>
    <s v="N/A"/>
    <x v="0"/>
    <s v="N/A"/>
    <s v="N/A"/>
    <s v="N/A"/>
    <s v="N/A"/>
    <s v="N/A"/>
    <s v="CIUDADANO (A)"/>
    <s v="SEGUIMIENTO A SOLICITUDES"/>
    <x v="5"/>
    <x v="5"/>
    <m/>
    <x v="1"/>
    <m/>
    <s v="eripaty73@hotmail.com"/>
    <n v="1"/>
    <n v="1"/>
    <n v="0"/>
    <s v="N/A"/>
    <s v="N/A"/>
  </r>
  <r>
    <n v="23"/>
    <s v="123"/>
    <x v="1"/>
    <d v="2026-02-17T00:00:00"/>
    <s v="SEDECO/CGI/TI/0156/2026_x000a_SDPEE/DGAP/339/2026"/>
    <s v="AEEH-2*1S.1/01-2026_x000a_ASESORIAS EN MATERIA ENERGÉTICA (VARIOS MUNICIPIOS)"/>
    <s v="ATENDER AL C. MIGUEL ALONSO HERNÁNDEZ (ANGELICA ALONSO GONZALEZ), PARA CONECTARSE A LA RED DE ENERGÍA ELÉCTRICA EN LA COMUNIDAD DE LAS NUECES, HUEJUTLA (TLANCHINOL)"/>
    <s v="ING. FRANCISCO"/>
    <s v="ALTO"/>
    <d v="2026-02-18T00:00:00"/>
    <s v="SI"/>
    <s v="SDE-UCC-07902-26"/>
    <s v=" AEEH/DG/152/2026, DE FECHA 23/02/2026, ENVIADO AL ING. OCTAVIO GÓMEZ PAULIN._x000a_"/>
    <s v="NO"/>
    <s v="N/A"/>
    <x v="0"/>
    <s v="N/A"/>
    <s v="N/A"/>
    <s v="N/A"/>
    <s v="N/A"/>
    <s v="N/A"/>
    <s v="CIUDADANO (A)"/>
    <s v="ATENCIÓN AL PUEBLO"/>
    <x v="6"/>
    <x v="8"/>
    <s v="LAS NUECES"/>
    <x v="0"/>
    <n v="7713663097"/>
    <m/>
    <n v="1"/>
    <n v="1"/>
    <n v="4"/>
    <s v="GOLFO CENTRO"/>
    <s v="ZONA HUEJUTLA "/>
  </r>
  <r>
    <n v="24"/>
    <s v="128"/>
    <x v="1"/>
    <d v="2026-02-17T00:00:00"/>
    <s v="IHDM/DG/021/2026"/>
    <s v="AEEH-2*1S.3/05-2026_x000a_INSTITUTO HIDALGUENSE PARA EL DESARROLLO MUNICIPAL"/>
    <s v="EL INSTITUTO HIDALGUENSE PARA EL DESARROLLO MUNICIPAL, SOLICITA LA DESIGNACIÓN DE ENLACE PARA APOYAR Y ACERCAR HERRAMIENTAS A LOS GOBIERNOS MUNICIPALES "/>
    <s v="ARQ. ORLANDO"/>
    <s v="MEDIO"/>
    <d v="2026-02-11T00:00:00"/>
    <s v="SI"/>
    <s v="N/A"/>
    <s v="AEEH/DG/141/2026, DE FECHA 18/02/2026, ENVIADO VIA CORREO ELECTRONICO AL LIC. ABEL CERÓN SAN NICOLÁS, DIRECTOR GENERAL DEL IHDM"/>
    <s v="N/A"/>
    <s v="N/A"/>
    <x v="0"/>
    <s v="N/A"/>
    <s v="N/A"/>
    <s v="N/A"/>
    <s v="N/A"/>
    <s v="N/A"/>
    <s v="DEPENDENCIA ESTATAL "/>
    <s v="OTRAS INSTANCIAS"/>
    <x v="0"/>
    <x v="0"/>
    <s v="COL. CENTRO "/>
    <x v="0"/>
    <s v="771 718 8904"/>
    <s v="abel.ceron@hidalgo.gob.mx_x000a_ihdm@hidalgo.gob.mx"/>
    <n v="1"/>
    <n v="1"/>
    <n v="0"/>
    <s v="N/A"/>
    <s v="N/A"/>
  </r>
  <r>
    <n v="25"/>
    <s v="129"/>
    <x v="1"/>
    <d v="2026-02-19T00:00:00"/>
    <s v="IHDM/DG/024/2026"/>
    <s v="AEEH-2*1S.3/05-2026_x000a_INSTITUTO HIDALGUENSE PARA EL DESARROLLO MUNICIPAL"/>
    <s v="RESULTADOS DE LA GUÍA CONSULTIVA DE DESEMPEÑO MUNICIPAL 2025, APLICADA A LOS 84 MUNICIPIOS PARA ANALIZAR Y ESTABLECER ACCIONES QUE CONFORMEN EL PLAN ESTRATEGICO DE FORTALECIMIENTO MUNICIPAL"/>
    <s v="ARQ. ORLANDO"/>
    <s v="BAJO"/>
    <d v="2026-02-19T00:00:00"/>
    <s v="SI"/>
    <s v="N/A"/>
    <s v="DE CONOCIMIENTO "/>
    <s v="N/A"/>
    <s v="N/A"/>
    <x v="0"/>
    <s v="N/A"/>
    <s v="N/A"/>
    <s v="N/A"/>
    <s v="N/A"/>
    <s v="N/A"/>
    <s v="DEPENDENCIA ESTATAL "/>
    <s v="OTRAS INSTANCIAS"/>
    <x v="0"/>
    <x v="0"/>
    <m/>
    <x v="0"/>
    <s v="771 718 8904"/>
    <s v="abel.ceron@hidalgo.gob.mx_x000a_ihdm@hidalgo.gob.mx"/>
    <n v="1"/>
    <n v="1"/>
    <n v="0"/>
    <s v="N/A"/>
    <s v="N/A"/>
  </r>
  <r>
    <n v="26"/>
    <s v="130"/>
    <x v="1"/>
    <d v="2026-02-19T00:00:00"/>
    <s v="OM/0225-14/2026"/>
    <s v="AEEH-2*1S/05-2026 _x000a_SOLICITUDES DE PRACTICAS, SERVICIO SOCIAL Y RESIDENCIA "/>
    <s v="DESIGNACIÓN DE ENLACE INSTITUCIONAL DEL PROGRAMA DE SERVICIO SOCIAL Y PRÁCTICAS PROFESIONALES ANTE OFICILÍA MAYOR"/>
    <s v="LIC. ARELI"/>
    <s v="MEDIO"/>
    <d v="2026-02-19T00:00:00"/>
    <s v="SI"/>
    <s v="N/A"/>
    <s v="AEEH/DG/132/2026, DE FECHA 16/02/2026, ENVIADO A LA MTRA. JESSICA ESPERANZA GONZALEZ DÍAZ _x000a_SE DESIGNA A ARELI HERNÁNDEZ COMO ENLACE Y ASISTE A LA CAPACITACIÓN EN PALACIO DE GOBIERNO."/>
    <s v="N/A"/>
    <s v="N/A"/>
    <x v="0"/>
    <s v="N/A"/>
    <s v="N/A"/>
    <s v="N/A"/>
    <s v="N/A"/>
    <s v="N/A"/>
    <s v="DEPENDENCIA ESTATAL "/>
    <s v="OTRAS INSTANCIAS"/>
    <x v="0"/>
    <x v="0"/>
    <m/>
    <x v="0"/>
    <s v="771 717 6000 Ext. 6283"/>
    <m/>
    <n v="1"/>
    <n v="1"/>
    <n v="0"/>
    <s v="N/A"/>
    <s v="N/A"/>
  </r>
  <r>
    <n v="27"/>
    <s v="137"/>
    <x v="1"/>
    <d v="2026-02-19T00:00:00"/>
    <s v="S/N CFE"/>
    <s v="AEEH-2*1S.1/01-2025 "/>
    <s v="RESPUESTA A OFICIO AEEH/DG/741/2025, SOLICITUD DE APOYO PARA ELECTRIFICACIÓN EN EL PROGRAMA FSUE EN LA LOCALIDAD MONARCA Y SANTA MARTHA EN TIZAYUCA"/>
    <s v="ING. FRANCISCO"/>
    <s v="ALTO"/>
    <d v="2026-02-19T00:00:00"/>
    <s v="SI"/>
    <s v="N/A"/>
    <s v="DE CONOCIMIENTO, ES SEGUIMIENTO A EXPEDIENTE 2025._x000a_La C. Juliana Romero Alemán, Gestora Social del Estado de México, solicita apoyo para ingresar los proyectos de electrificación para las colonias Monarca y Santa Martha, del Mpio. Dde Tizayuca, al programa del Fondo de Servicio Universal Eléctrico (FUSUE)"/>
    <s v="NO"/>
    <s v="N/A"/>
    <x v="0"/>
    <s v="N/A"/>
    <s v="N/A"/>
    <s v="N/A"/>
    <s v="N/A"/>
    <s v="N/A"/>
    <s v="DEPENDENCIA FEDERAL  "/>
    <s v="SEGUIMIENTO A SOLICITUDES"/>
    <x v="5"/>
    <x v="5"/>
    <m/>
    <x v="2"/>
    <m/>
    <m/>
    <n v="0"/>
    <n v="0"/>
    <n v="0"/>
    <s v="N/A"/>
    <s v="N/A"/>
  </r>
  <r>
    <n v="28"/>
    <s v="138"/>
    <x v="1"/>
    <d v="2026-02-19T00:00:00"/>
    <s v="S/N CFE"/>
    <s v="AEEH-2*1S.1/01 III-2025 "/>
    <s v="RESPUESTA A OFICIO AEEH/DG/545/2025, SOLICITUD DE APOYO PARA CONSIDERAR ELECTRIFICACIÓN EN EL PROGRAME FSUE A SAN JOSE TEPENENE, MPIO. DE EL ARENAL"/>
    <s v="ING. FRANCISCO"/>
    <s v="ALTO"/>
    <d v="2026-02-19T00:00:00"/>
    <s v="SI"/>
    <s v="SDE-UCC-05446-25"/>
    <s v="DE CONOCIMIENTO, ES SEGUIMIENTO A EXPEDIENTE 2025_x000a_Solicita se de atención al  C. Luis Hernández Esparza,del Municipio del Arenal, solicita mediación con CFE para llevar a cabo la ampliación de la red eléctrica en la calle &quot;Cerrada Mingos&quot;, de dicho lugar._x000a_Se da respuesta con oficio AEEH/DG/461/2025, de fecha 16/junio/25, enviado a Ing. Octavio Gómez Paulín"/>
    <s v="NO"/>
    <s v="N/A"/>
    <x v="0"/>
    <s v="N/A"/>
    <s v="N/A"/>
    <s v="N/A"/>
    <s v="N/A"/>
    <s v="N/A"/>
    <s v="DEPENDENCIA FEDERAL  "/>
    <s v="SEGUIMIENTO A SOLICITUDES"/>
    <x v="5"/>
    <x v="5"/>
    <m/>
    <x v="2"/>
    <m/>
    <m/>
    <n v="0"/>
    <n v="0"/>
    <n v="0"/>
    <s v="N/A"/>
    <s v="N/A"/>
  </r>
  <r>
    <n v="29"/>
    <s v="139"/>
    <x v="1"/>
    <d v="2026-02-19T00:00:00"/>
    <s v="S/N CFE"/>
    <s v="AEEH-2*1S.1/01-2025 "/>
    <s v="RESPUESTA A OFICIO AEEH/DG/520/2025, INFORMAN OBRAS EJECUTADAS EN EL SEGUNDO SEMESTRE 2025, PARA AMPLIACIÓN DE REDES ELÉCTRICAS"/>
    <s v="ING. FRANCISCO"/>
    <s v="ALTO"/>
    <d v="2026-02-19T00:00:00"/>
    <s v="SI"/>
    <s v="N/A"/>
    <s v="DE CONOCIMIENTO, ES SEGUIMIENTO A EXPEDIENTE 2025"/>
    <s v="NO"/>
    <s v="N/A"/>
    <x v="0"/>
    <s v="N/A"/>
    <s v="N/A"/>
    <s v="N/A"/>
    <s v="N/A"/>
    <s v="N/A"/>
    <s v="DEPENDENCIA FEDERAL  "/>
    <s v="SEGUIMIENTO A SOLICITUDES"/>
    <x v="5"/>
    <x v="5"/>
    <m/>
    <x v="2"/>
    <m/>
    <m/>
    <n v="0"/>
    <n v="0"/>
    <n v="0"/>
    <s v="N/A"/>
    <s v="N/A"/>
  </r>
  <r>
    <n v="30"/>
    <s v="140"/>
    <x v="1"/>
    <d v="2026-02-19T00:00:00"/>
    <s v="MMHR-106-2026"/>
    <s v="AEEH-2*1S.1/01-2025 "/>
    <s v="RESPUESTA A OFICIO AEEH/DG/521/2025, REPORTE DE OBRAS DE AMPLIACIÓN DE REDES EJECUTADAS DURANTE EL EJERCICIO FISCAL 2025 EN LA ZONA TULANCINGO"/>
    <s v="ING. FRANCISCO"/>
    <s v="ALTO"/>
    <d v="2026-02-19T00:00:00"/>
    <s v="SI"/>
    <s v="N/A"/>
    <s v="DE CONOCIMIENTO, ES SEGUIMIENTO A EXPEDIENTE 2025"/>
    <s v="NO"/>
    <s v="N/A"/>
    <x v="0"/>
    <s v="N/A"/>
    <s v="N/A"/>
    <s v="N/A"/>
    <s v="N/A"/>
    <s v="N/A"/>
    <s v="DEPENDENCIA FEDERAL  "/>
    <s v="SEGUIMIENTO A SOLICITUDES"/>
    <x v="5"/>
    <x v="5"/>
    <m/>
    <x v="2"/>
    <m/>
    <m/>
    <n v="0"/>
    <n v="0"/>
    <n v="0"/>
    <s v="N/A"/>
    <s v="N/A"/>
  </r>
  <r>
    <n v="31"/>
    <s v="143"/>
    <x v="1"/>
    <d v="2026-02-20T00:00:00"/>
    <s v="UPLAPH/COEMERE/114/2026"/>
    <s v="AEEH-2*1S/04-2026 _x000a_MEJORA REGULATORIA "/>
    <s v="NOTIFICAN LA CONCLUSIÓN SATISFACTORIA DEL PLAN ANUAL DE MEJORA REGULATORIA 2025 DE LA AEEH"/>
    <s v="LIC. ARELI"/>
    <s v="MEDIO"/>
    <d v="2026-02-20T00:00:00"/>
    <s v="SI"/>
    <s v="N/A"/>
    <s v="AEEH/DPIE/018/2026, SE ENVIÓ COPIA A LA LIC. JACQUELINE"/>
    <s v="N/A"/>
    <s v="N/A"/>
    <x v="0"/>
    <s v="N/A"/>
    <s v="N/A"/>
    <s v="N/A"/>
    <s v="N/A"/>
    <s v="N/A"/>
    <s v="DEPENDENCIA ESTATAL "/>
    <s v="OTRAS INSTANCIAS"/>
    <x v="0"/>
    <x v="1"/>
    <m/>
    <x v="0"/>
    <s v="771 715 6672"/>
    <s v="dependencias.coemere@hidalgo.gob.mx"/>
    <n v="1"/>
    <n v="1"/>
    <n v="0"/>
    <s v="N/A"/>
    <s v="N/A"/>
  </r>
  <r>
    <n v="32"/>
    <s v="144"/>
    <x v="1"/>
    <d v="2026-02-20T00:00:00"/>
    <s v="CFEE.-011.2026"/>
    <s v="AEEH-2*1S.3/03-2026_x000a_CONUE"/>
    <s v="CONVEE, REITERA SU DISPOSICIÓN PARA COLABORAR DE MANERA COORDINADA CON LOS GOBIERNOS ESTATALES"/>
    <s v="ARQ. ORLANDO _x000a_ING. SANDRA"/>
    <s v="MEDIO"/>
    <d v="2026-02-20T00:00:00"/>
    <s v="SI"/>
    <s v="N/A"/>
    <s v="DE CONOCIMIENTO "/>
    <s v="N/A"/>
    <s v="N/A"/>
    <x v="0"/>
    <s v="N/A"/>
    <s v="N/A"/>
    <s v="N/A"/>
    <s v="N/A"/>
    <s v="N/A"/>
    <s v="DEPENDENCIA FEDERAL  "/>
    <s v="OTRAS INSTANCIAS"/>
    <x v="0"/>
    <x v="5"/>
    <m/>
    <x v="0"/>
    <s v="55 30001000 "/>
    <s v="alicia.gutierrez@conuee.gob.mx"/>
    <n v="1"/>
    <n v="1"/>
    <n v="0"/>
    <s v="N/A"/>
    <s v="N/A"/>
  </r>
  <r>
    <n v="33"/>
    <s v="142"/>
    <x v="1"/>
    <d v="2026-02-19T00:00:00"/>
    <s v="SEDECO /CGI/TI/188/2026"/>
    <s v="AEEH-2*1S.4/08-2026_x000a_SUBCOMITÉ SECTORIAL DE MEDIO AMBIENTE Y RECURSOS NATURALES "/>
    <s v="INVITACIÓN A LA OCTAVA SESIÓN ORDINARIA DEL SUBCOMITÉ SECTORIAL DE MEDIO AMBIENTE Y RECURSOS NATURALES DEL COPLADEHI, EL JUEVES 26 A LAS 11:00, EN MODALIDAD VIRTUAL. "/>
    <s v="ARQ. ORLANDO"/>
    <s v="BAJO"/>
    <d v="2026-02-24T00:00:00"/>
    <s v="SI"/>
    <s v="N/A"/>
    <s v="ARQ. ORLANDO SE CONECTA A LA REUNIÓN "/>
    <s v="N/A"/>
    <s v="N/A"/>
    <x v="0"/>
    <s v="N/A"/>
    <s v="N/A"/>
    <s v="N/A"/>
    <s v="N/A"/>
    <s v="N/A"/>
    <s v="DEPENDENCIA ESTATAL "/>
    <s v="OTRAS INSTANCIAS"/>
    <x v="0"/>
    <x v="0"/>
    <m/>
    <x v="0"/>
    <s v="771 688 6029"/>
    <m/>
    <n v="1"/>
    <n v="1"/>
    <n v="0"/>
    <s v="N/A"/>
    <s v="N/A"/>
  </r>
  <r>
    <n v="34"/>
    <s v="149"/>
    <x v="1"/>
    <d v="2026-02-20T00:00:00"/>
    <s v="SEDECO /CGI/TI/0190/2026_x000a_SDPEE/DGAP/538/2026"/>
    <s v="AEEH-2*1S.1/01-2026_x000a_ASESORIAS EN MATERIA ENERGÉTICA (VARIOS MUNICIPIOS)"/>
    <s v="SOLICITA SE LE DE ATENCIÓN AL C. PEDRO MOEDANO BACA, QUIEN SOLICITA INSTALACIÓN DE UNA RED DE ALUMBRADO PÚBLICO "/>
    <s v="ING. FRANCISCO"/>
    <s v="ALTO"/>
    <d v="2026-02-25T00:00:00"/>
    <s v="SI"/>
    <s v="SDE-UCC-07900-26"/>
    <s v=" AEEH/DG/168/2026, DE FECHA 27/02/2026, ENVIADO AL ING. OCTAVIO GÓMEZ PAULIN._x000a_AEEH/DG/193/2026, DE FECHA 09/03/2026, ENVIADO AL ING. OCTAVIO GÓMEZ PAULIN."/>
    <s v="NO"/>
    <s v="N/A"/>
    <x v="0"/>
    <s v="N/A"/>
    <s v="N/A"/>
    <s v="N/A"/>
    <s v="N/A"/>
    <s v="N/A"/>
    <s v="CIUDADANO (A)"/>
    <s v="ATENCIÓN AL PUEBLO"/>
    <x v="3"/>
    <x v="10"/>
    <s v="SAN JOSÉ ZOQUITAL "/>
    <x v="0"/>
    <n v="7712067240"/>
    <s v="gutierrezolguinm@gmail.com"/>
    <n v="1"/>
    <n v="425"/>
    <n v="1700"/>
    <s v="CENTRO ORIENTE"/>
    <s v="ZONA PACHUCA"/>
  </r>
  <r>
    <n v="35"/>
    <s v="150"/>
    <x v="1"/>
    <d v="2026-02-20T00:00:00"/>
    <s v="SEDECO /CGI/TI/0191/2026_x000a_SDPEE/DGAP/539/2026"/>
    <s v="AEEH-2*1S.1/01-2026_x000a_ASESORIAS EN MATERIA ENERGÉTICA (VARIOS MUNICIPIOS)"/>
    <s v="SOLICITA SE LE DE ATENCIÓN A LA C. JUANA ELIZARRAGA VÁZQUEZ, QUIEN SOLICITA APOYO PARA  LA AMPLIACIÓN O CONTINUIDAD DE LUZ CON POSTES FALTANTES"/>
    <s v="ING. FRANCISCO"/>
    <s v="ALTO"/>
    <d v="2026-02-25T00:00:00"/>
    <s v="SI"/>
    <s v="SDE-UCC-07901-26"/>
    <s v="AEEH/DG/169/2026, DE FECHA 27/02/2026, ENVIADO AL ING. OCTAVIO GÓMEZ PAULIN._x000a_"/>
    <s v="NO"/>
    <s v="N/A"/>
    <x v="0"/>
    <s v="N/A"/>
    <s v="N/A"/>
    <s v="N/A"/>
    <s v="N/A"/>
    <s v="N/A"/>
    <s v="CIUDADANO (A)"/>
    <s v="ATENCIÓN AL PUEBLO"/>
    <x v="2"/>
    <x v="10"/>
    <s v="EL NOVILLERO "/>
    <x v="1"/>
    <n v="7712387661"/>
    <m/>
    <n v="1"/>
    <n v="10"/>
    <n v="39"/>
    <s v="CENTRO ORIENTE"/>
    <s v="ZONA PACHUCA"/>
  </r>
  <r>
    <n v="36"/>
    <s v="151"/>
    <x v="1"/>
    <d v="2026-02-20T00:00:00"/>
    <s v="SEDECO /CGI/TI/0192/2026_x000a_SDPEE/DGAP/540/2026"/>
    <s v="AEEH-2*1S.1/01-2026_x000a_ASESORIAS EN MATERIA ENERGÉTICA (VARIOS MUNICIPIOS)"/>
    <s v="SOLICITA SE LE DE ATENCIÓN AL C. ERNESTO SOTO CASTAÑEDA, QUIEN SOLICITA APOYO PARA LA REPARACIÓN DE LAS LAMPARAS DE SU COMUNIDAD ASÍ COMO POSTES EN MAL ESTADO."/>
    <s v="ING. FRANCISCO"/>
    <s v="ALTO"/>
    <d v="2026-02-25T00:00:00"/>
    <s v="SI"/>
    <s v="SDE-UCC-07899-26"/>
    <s v="AEEH/DG/170/2026, DE FECHA 27/02/2026, ENVIADO AL ING. OCTAVIO GÓMEZ PAULIN._x000a_AEEH/DG/194/2026, DE FECHA 09/03/2026, ENVIADO AL ING. OCTAVIO GÓMEZ PAULIN."/>
    <s v="NO"/>
    <s v="N/A"/>
    <x v="0"/>
    <s v="N/A"/>
    <s v="N/A"/>
    <s v="N/A"/>
    <s v="N/A"/>
    <s v="N/A"/>
    <s v="CIUDADANO (A)"/>
    <s v="ATENCIÓN AL PUEBLO"/>
    <x v="3"/>
    <x v="11"/>
    <s v="BARRIO DEL ESPEJO"/>
    <x v="0"/>
    <n v="7717082142"/>
    <s v="barriodelaviadero2025@gmail.com"/>
    <n v="1"/>
    <n v="50"/>
    <n v="200"/>
    <s v="CENTRO ORIENTE"/>
    <s v="ZONA PACHUCA"/>
  </r>
  <r>
    <n v="37"/>
    <s v="152"/>
    <x v="1"/>
    <d v="2026-02-20T00:00:00"/>
    <s v="SEDECO /CGI/TI/0193/2026_x000a_SDPEE/DGAP/547/2026"/>
    <s v="AEEH-2*1S.1/01-2026_x000a_ASESORIAS EN MATERIA ENERGÉTICA (VARIOS MUNICIPIOS)"/>
    <s v="SOLICITA ATENDER A LA C. ELIDA MARTÍNEZ HERNÁNDEZ, QUIEN SOLICITA APOYO CON EL SERVICIO DE LUZ EN LA COLONIA HUMBERTA."/>
    <s v="ING. FRANCISCO"/>
    <s v="ALTO"/>
    <d v="2026-02-25T00:00:00"/>
    <s v="SI"/>
    <s v="SDE-UCC-07908-26"/>
    <s v="AEEH/DG/171/2026, DE FECHA 27/02/2026, ENVIADO AL ING. OCTAVIO GÓMEZ PAULIN._x000a_AEEH/DG/195/2026, DE FECHA 09/03/2026, ENVIADO AL ING. OCTAVIO GÓMEZ PAULIN."/>
    <s v="NO"/>
    <s v="N/A"/>
    <x v="0"/>
    <s v="N/A"/>
    <s v="N/A"/>
    <s v="N/A"/>
    <s v="N/A"/>
    <s v="N/A"/>
    <s v="CIUDADANO (A)"/>
    <s v="ATENCIÓN AL PUEBLO"/>
    <x v="2"/>
    <x v="12"/>
    <s v="HUMBERTA "/>
    <x v="1"/>
    <n v="7713439854"/>
    <m/>
    <n v="1"/>
    <n v="5"/>
    <n v="20"/>
    <s v="GOLFO CENTRO"/>
    <s v="ZONA HUEJUTLA "/>
  </r>
  <r>
    <n v="38"/>
    <s v="153"/>
    <x v="1"/>
    <d v="2026-02-20T00:00:00"/>
    <s v="SEDECO /CGI/TI/0194/2026_x000a_SDPEE/DGAP/555/2026"/>
    <s v="AEEH-2*1S.1/01-2026_x000a_ASESORIAS EN MATERIA ENERGÉTICA (VARIOS MUNICIPIOS)"/>
    <s v="ATENDER AL C. ERNESTO SOTO CASTAÑEDA, QUIEN SOLICITA APOYO CON LA COLOCACIÓN DE ALUMBRADO PÚBLICO EN SU LOCALIDAD "/>
    <s v="ING. FRANCISCO"/>
    <s v="ALTO"/>
    <d v="2026-02-25T00:00:00"/>
    <s v="SI"/>
    <s v="SDE-UCC-07909-26"/>
    <s v="AEEH/DG/172/2026, DE FECHA 27/02/2026, ENVIADO AL ING. OCTAVIO GÓMEZ PAULIN._x000a_AEEH/DG/196/2026, DE FECHA 09/03/2026, ENVIADO AL ING. OCTAVIO GÓMEZ PAULIN."/>
    <s v="NO"/>
    <s v="N/A"/>
    <x v="0"/>
    <s v="N/A"/>
    <s v="N/A"/>
    <s v="N/A"/>
    <s v="N/A"/>
    <s v="N/A"/>
    <s v="CIUDADANO (A)"/>
    <s v="ATENCIÓN AL PUEBLO"/>
    <x v="3"/>
    <x v="11"/>
    <s v="BARRIO DEL AVIADERO "/>
    <x v="0"/>
    <n v="7717082142"/>
    <s v="barriodelaviadero2025@gmail.com"/>
    <n v="1"/>
    <n v="50"/>
    <n v="200"/>
    <s v="CENTRO ORIENTE"/>
    <s v="ZONA PACHUCA"/>
  </r>
  <r>
    <n v="39"/>
    <s v="158"/>
    <x v="1"/>
    <d v="2026-02-23T00:00:00"/>
    <s v="SDPEE/DGAP/602/2026_x000a_SEDECO /CGI/TI/0203/2026"/>
    <s v="AEEH-2*1S.1/01-2026_x000a_ASESORIAS EN MATERIA ENERGÉTICA (VARIOS MUNICIPIOS)"/>
    <s v="ATENDER A LA C. BERTHA MORALES QUIEN SOLICITA APOYO CON LA COLOCACIÓN DE ALUMBRADO PÚBLICO, DEBIDO A LOS DAÑOS OCASIONADOS POR LAS OBRAS DE CONSTRUCCIÓN EN LA AUTOPISTA REAL DEL MONTE - CRUCERO DE HUASCA"/>
    <s v="ING. FRANCISCO"/>
    <s v="ALTO"/>
    <d v="2026-02-25T00:00:00"/>
    <s v="SI"/>
    <s v="SDE-UCC-07934-26"/>
    <s v="AEEH/DG/173/2026, DE FECHA 27/02/2026 ENVIADO AL ING. OCTAVIO GÓMEZ PAULIN _x000a_AEEH/DG/197/2026, DE FECHA 09/03/2026 ENVIADO AL ING. OCTAVIO GÓMEZ PAULIN "/>
    <s v="NO"/>
    <s v="N/A"/>
    <x v="0"/>
    <s v="N/A"/>
    <s v="N/A"/>
    <s v="N/A"/>
    <s v="N/A"/>
    <s v="N/A"/>
    <s v="CIUDADANO (A)"/>
    <s v="ATENCIÓN AL PUEBLO"/>
    <x v="3"/>
    <x v="11"/>
    <s v="RINCON CHICO "/>
    <x v="1"/>
    <n v="7714240336"/>
    <m/>
    <n v="1"/>
    <n v="72"/>
    <n v="288"/>
    <s v="CENTRO ORIENTE"/>
    <s v="ZONA PACHUCA"/>
  </r>
  <r>
    <n v="40"/>
    <s v="174"/>
    <x v="1"/>
    <d v="2026-02-26T00:00:00"/>
    <s v="AMS-072-2026"/>
    <s v="AEEH-2*1S.1/06-2026_x000a_SISTEMA DE BOMBEO EN LA COL. VERACRUZ, MIXQUIAHUALA_x000a_"/>
    <s v="RESPUESTA A OFICIO AEEH/DG/427/2025, DONDE &quot;PRODUCTORES DE SAN ISIDRO BOXAXNI&quot; SOLICITA CONCILIAR ADEUDO EN SERVICIO DE BOMBEO DE RIEGO AGRICOLA "/>
    <s v="ARQ. ORLANDO"/>
    <s v="MEDIO"/>
    <d v="2026-02-26T00:00:00"/>
    <s v="SI"/>
    <s v="SDE-UCC-04712-25"/>
    <s v="Se da respuesta con oficio AEEH/DG/191/2025, de fecha 13/03/2025, enviado a Ing. Octavio Gómez Paulín_x000a_Oficio AEEH/DG/427/2025, de fecha 30/05/2025, enviado a Ing. Daniel Mendez Cuaya_x000a_Se da respuesta con AMS-072-2026, de fecha 25/02/2026, Ing. Abraham Méndez Sanchez_x000a_Los C. Gregorio Rosas Rodríguez, Hilario Olguín Florentino, Teódulo Rosas Rodríguez y Alfredo Medina Bonifacio, integrantes de la sociedad de productores de San Isidro Boxaxni S.R.L. M.I. , Mpio. de Mixquiahuala, Hgo., solicitan mediación con CFE  por una problemática de adeudo con sus cuotas energéticas en un pozo agrícola."/>
    <s v="N/A"/>
    <s v="N/A"/>
    <x v="0"/>
    <s v="N/A"/>
    <s v="N/A"/>
    <s v="N/A"/>
    <s v="N/A"/>
    <s v="N/A"/>
    <s v="DEPENDENCIA FEDERAL  "/>
    <s v="SEGUIMIENTO A SOLICITUDES"/>
    <x v="5"/>
    <x v="5"/>
    <s v="COL. VERACRUZ"/>
    <x v="0"/>
    <s v="773 73 29551 EXT. 22104"/>
    <m/>
    <n v="1"/>
    <n v="1"/>
    <n v="0"/>
    <s v="N/A"/>
    <s v="N/A"/>
  </r>
  <r>
    <n v="41"/>
    <s v="163"/>
    <x v="1"/>
    <d v="2026-02-26T00:00:00"/>
    <s v="AMS-068-2026"/>
    <s v="AEEH-2*1S.1/01-2025 "/>
    <s v="RESPUESTA A OFICIO AEEH/DG/520/2025, PARA INFORMAR SOBRE LOS PROGRAMAS DE AMPLIACIÓN DE REDES ELÉCTRICAS Y SISTEMAS FOTOVOLTAICOS EN LA ZONA TULA "/>
    <s v="ING. FRANCISCO"/>
    <s v="ALTO"/>
    <d v="2026-02-26T00:00:00"/>
    <s v="SI"/>
    <s v="N/A"/>
    <s v="OFICIO DE REFERENCIA, ENVIADO EN 2025 A CFE ZONA DE DISTRIBUCIÓN TULA "/>
    <s v="N/A"/>
    <s v="N/A"/>
    <x v="0"/>
    <s v="N/A"/>
    <s v="N/A"/>
    <s v="N/A"/>
    <s v="N/A"/>
    <s v="N/A"/>
    <s v="DEPENDENCIA FEDERAL  "/>
    <s v="SEGUIMIENTO A SOLICITUDES"/>
    <x v="5"/>
    <x v="5"/>
    <m/>
    <x v="2"/>
    <m/>
    <m/>
    <n v="0"/>
    <n v="0"/>
    <n v="0"/>
    <s v="N/A"/>
    <s v="N/A"/>
  </r>
  <r>
    <n v="42"/>
    <s v="164"/>
    <x v="1"/>
    <d v="2026-02-26T00:00:00"/>
    <s v="AMS-070-2026"/>
    <s v="AEEH-2*1S.1/01 IV-2025 "/>
    <s v="RESPUESTA A OFICIO AEEH/DG/664/2025, PARA INFORMAR SOBRE LA REUBICACIÓN DE CONDUCTORES ARRIBA DE UNA VIVIENDA EN LA LOCALIDAD DEL TOXTHE"/>
    <s v="ING. FRANCISCO"/>
    <s v="ALTO"/>
    <d v="2026-02-26T00:00:00"/>
    <s v="SI"/>
    <s v="GESTIÓN 2025_x000a_SDE-UCC-05555-25"/>
    <s v="Se da respuesta con oficio AEEH/DG/578/2025, de fecha 11/julio/25, enviado a Ing. Octavio Gómez Paulín._x000a_Seguimiento con oficio AEEH/DG/664/2025, del 30-jul-25, enviado a Ing. Abraham Méndez Sánchez, Superintendente de CFE Distribución Zona Tula_x000a_Solicita se de atención a la C. Herlinda Lugo Pérez, del Mpio. de  Chapantongo, Solicita mediación con CFE para la reubicación de cables de luz de alta tensión ya que afectan en su domicilio en la localidad de Toxthe, en dicho lugar. "/>
    <s v="N/A"/>
    <s v="N/A"/>
    <x v="0"/>
    <s v="N/A"/>
    <s v="N/A"/>
    <s v="N/A"/>
    <s v="N/A"/>
    <s v="N/A"/>
    <s v="DEPENDENCIA FEDERAL  "/>
    <s v="SEGUIMIENTO A SOLICITUDES"/>
    <x v="5"/>
    <x v="5"/>
    <m/>
    <x v="2"/>
    <m/>
    <m/>
    <n v="0"/>
    <n v="0"/>
    <n v="0"/>
    <s v="N/A"/>
    <s v="N/A"/>
  </r>
  <r>
    <n v="43"/>
    <s v="165"/>
    <x v="1"/>
    <d v="2026-02-26T00:00:00"/>
    <s v="AMS-071-2026"/>
    <s v="AEEH-2*1S.1/01-2025 "/>
    <s v="RESPUESTA A OFICIO AEEH/DG/543/2025, SE ENVIA EL PRESUPUESTO PARA INTEGRAR AL FSUE LA ELECTRIFICACIÓN DE LA LOCALIDAD DE SAN SEBASTIAN TEZONTEPEC DE ALDAMA "/>
    <s v="ING. FRANCISCO"/>
    <s v="ALTO"/>
    <d v="2026-02-26T00:00:00"/>
    <s v="SI"/>
    <s v="N/A"/>
    <s v="GESTIÓN 2025_x000a_"/>
    <s v="N/A"/>
    <s v="N/A"/>
    <x v="0"/>
    <s v="N/A"/>
    <s v="N/A"/>
    <s v="N/A"/>
    <s v="N/A"/>
    <s v="N/A"/>
    <s v="DEPENDENCIA FEDERAL  "/>
    <s v="SEGUIMIENTO A SOLICITUDES"/>
    <x v="5"/>
    <x v="5"/>
    <m/>
    <x v="2"/>
    <m/>
    <m/>
    <n v="0"/>
    <n v="0"/>
    <n v="0"/>
    <s v="N/A"/>
    <s v="N/A"/>
  </r>
  <r>
    <n v="44"/>
    <s v="166"/>
    <x v="1"/>
    <d v="2026-02-26T00:00:00"/>
    <s v="TELECOM/CT/070/2026"/>
    <s v="AEEH-2*1S.1/17-2025_x000a_ASESORIAS EN MATERIA DE TELECOMUNICACIONES (VARIOS MUNICIPIOS)"/>
    <s v="SOLICITUDES DE CONECTIVIDAD (TELEFONÍA E INTERNET) A DIVERSAS COMUNIDADES DEL ESTADO DE HIDALGO "/>
    <s v="ARQ. DIEGO"/>
    <s v="ALTO"/>
    <d v="2026-02-26T00:00:00"/>
    <s v="SI"/>
    <s v="GESTIÓN 2025_x000a_SDE-AEEH-00333-25"/>
    <s v="AEEH/DG/226/2026, DE FECHA 23/03/2026, ENVIADO A LA MTRA. LILIANA BARRERA JIMÉNEZ_x000a_SUBDIRECTORA DE ESTRATEGIA COMERCIAL "/>
    <s v="NO"/>
    <s v="N/A"/>
    <x v="0"/>
    <s v="N/A"/>
    <s v="N/A"/>
    <s v="N/A"/>
    <s v="N/A"/>
    <s v="N/A"/>
    <s v="DEPENDENCIA FEDERAL  "/>
    <s v="SEGUIMIENTO A SOLICITUDES"/>
    <x v="5"/>
    <x v="5"/>
    <m/>
    <x v="2"/>
    <m/>
    <m/>
    <n v="0"/>
    <n v="0"/>
    <n v="0"/>
    <s v="N/A"/>
    <s v="N/A"/>
  </r>
  <r>
    <n v="45"/>
    <s v="167"/>
    <x v="1"/>
    <d v="2026-02-26T00:00:00"/>
    <s v="DG/DIPI/SLAC/00122/2026"/>
    <s v="AEEH-2*1S.1/01-2025 "/>
    <s v="SOLICITUDES DE INFRAESTRUCTURA (SUBDIRECCIÓN DE DISTRIBUCIÓN Y CFETELECOM)"/>
    <s v="ING. FRANCISCO"/>
    <s v="ALTO"/>
    <d v="2026-02-26T00:00:00"/>
    <s v="SI"/>
    <s v="N/A"/>
    <s v="GESTIÓN 2025_x000a_"/>
    <s v="NO"/>
    <s v="N/A"/>
    <x v="0"/>
    <s v="N/A"/>
    <s v="N/A"/>
    <s v="N/A"/>
    <s v="N/A"/>
    <s v="N/A"/>
    <s v="DEPENDENCIA FEDERAL  "/>
    <s v="SEGUIMIENTO A SOLICITUDES"/>
    <x v="5"/>
    <x v="5"/>
    <m/>
    <x v="2"/>
    <m/>
    <m/>
    <n v="0"/>
    <n v="0"/>
    <n v="0"/>
    <s v="N/A"/>
    <s v="N/A"/>
  </r>
  <r>
    <n v="46"/>
    <s v="168"/>
    <x v="1"/>
    <d v="2026-02-26T00:00:00"/>
    <s v="AMS/073/2026"/>
    <s v="AEEH-2*1S.1/01-2025 "/>
    <s v="RESPUESTA  A OFICIO AEEH/DG/560/2025, INFORMAN DE MEJORAS A LA RED EN COMUNIDAD DE TEPETITLÁN"/>
    <s v="ING. FRANCISCO"/>
    <s v="ALTO"/>
    <d v="2026-02-26T00:00:00"/>
    <s v="SI"/>
    <s v="N/A"/>
    <s v="GESTIÓN 2025_x000a_"/>
    <s v="N/A"/>
    <s v="N/A"/>
    <x v="0"/>
    <s v="N/A"/>
    <s v="N/A"/>
    <s v="N/A"/>
    <s v="N/A"/>
    <s v="N/A"/>
    <s v="DEPENDENCIA FEDERAL  "/>
    <s v="SEGUIMIENTO A SOLICITUDES"/>
    <x v="5"/>
    <x v="5"/>
    <m/>
    <x v="2"/>
    <m/>
    <m/>
    <n v="0"/>
    <n v="0"/>
    <n v="0"/>
    <s v="N/A"/>
    <s v="N/A"/>
  </r>
  <r>
    <n v="47"/>
    <s v="173"/>
    <x v="1"/>
    <d v="2026-02-27T00:00:00"/>
    <s v="SEDECO/CGI/TI/0220/2026_x000a_SDPEE/DGAP/686/2026"/>
    <s v="AEEH-2*1S.1/01-2026_x000a_ASESORIAS EN MATERIA ENERGÉTICA (VARIOS MUNICIPIOS)"/>
    <s v="ATENDER AL C. HÉCTOR MANUEL MENESES PADILLA, QUIEN SOLICITA APOYO CON INTERVENCIÓN ANTE PRESUNTO COBRRO DE UN SERVICIO DE CFE EL CUAL NO HIZO USO "/>
    <s v="ING. FRANCISCO"/>
    <s v="ALTO"/>
    <d v="2026-02-27T00:00:00"/>
    <s v="SI"/>
    <s v="SDE-UCC-07960-26"/>
    <s v="AEEH/DG/183/2026, DE FECHA 03/03/2026, ENVIADO AL ING. OCTAVIO GÓMEZ PAULIN._x000a_"/>
    <s v="SI"/>
    <s v="AEEH/DG/231/2026, DE FECHA 23/03/2026, ENVIADO AL ING. VICTOR ISRAEL ALARCON HEREDIA."/>
    <x v="2"/>
    <s v="VAH-029-2026"/>
    <s v="N/A"/>
    <s v="N/A"/>
    <s v="N/A"/>
    <s v="N/A"/>
    <s v="CIUDADANO (A)"/>
    <s v="ATENCIÓN AL PUEBLO"/>
    <x v="7"/>
    <x v="13"/>
    <s v="JAGUEY DE TELLEZ"/>
    <x v="0"/>
    <s v="771 206 3154"/>
    <m/>
    <n v="1"/>
    <n v="1"/>
    <n v="4"/>
    <s v="CENTRO ORIENTE"/>
    <s v="ZONA PACHUCA"/>
  </r>
  <r>
    <n v="48"/>
    <s v="172"/>
    <x v="1"/>
    <d v="2026-02-27T00:00:00"/>
    <s v="SEDECO/CGI/TI/0219/2026_x000a_SDPEE/DGAP/659/2026"/>
    <s v="AEEH-2*1S.1/01-2026_x000a_ASESORIAS EN MATERIA ENERGÉTICA (VARIOS MUNICIPIOS)"/>
    <s v="ATENDER AL C. MARTIN LUGO PÉREZ QUIEN SOLICITA APOYO CON LA AMPLIACIÓN DE LA RED ELÉCTRICA EN EL EJIDO &quot;PALMILLAS&quot;."/>
    <s v="ING. FRANCISCO"/>
    <s v="ALTO"/>
    <d v="2026-02-27T00:00:00"/>
    <s v="SI"/>
    <s v="SDE-UCC-07952-26"/>
    <s v="AEEH/DG/182/2026, DE FECHA 03/03/2026, ENVIADO AL ING. OCTAVIO GÓMEZ PAULIN._x000a_AEEH/DG/200/2026, DE FECHA 10/03/2026, ENVIADO AL ING. OCTAVIO GÓMEZ PAULIN._x000a__x000a_"/>
    <s v="NO"/>
    <s v="N/A"/>
    <x v="0"/>
    <s v="N/A"/>
    <s v="N/A"/>
    <s v="N/A"/>
    <s v="N/A"/>
    <s v="N/A"/>
    <s v="CIUDADANO (A)"/>
    <s v="ATENCIÓN AL PUEBLO"/>
    <x v="2"/>
    <x v="14"/>
    <s v="EJIDO PALMILLAS"/>
    <x v="0"/>
    <n v="7712447808"/>
    <m/>
    <n v="1"/>
    <n v="4"/>
    <n v="16"/>
    <s v="CENTRO ORIENTE"/>
    <s v="ZONA PACHUCA"/>
  </r>
  <r>
    <n v="49"/>
    <s v="186"/>
    <x v="2"/>
    <d v="2026-03-02T00:00:00"/>
    <s v="CFEE.-015.2026"/>
    <s v="AEEH-2*1S.3/03-2026_x000a_CONUE"/>
    <s v="LA COMISIÓN NACIONAL PARA EL USO EFICIENTE DE LA ENERGÍA (CONUEE), DA A CONOCER AL PLAN NACIONAL DE CAPACITACIÓN DE EFICIENCIA ENERGÉTICA EN SERVICIOS Y EDIFICIOS PÚBLICOS ESTATALES Y MUNICIPALES."/>
    <s v="LIC. ARELI"/>
    <s v="MEDIO"/>
    <d v="2026-03-02T00:00:00"/>
    <s v="SI"/>
    <s v="N/A"/>
    <s v="SE AGENDÓ CADA UNA DE LAS ACTIVIDADES PARA SU PRONTA ATENCIÓN Y SE ENVIA EL OFICIO AEEH/DG/188/2026, A TODAS LAS DEPENDENCIAS DE GOBIERNO."/>
    <s v="N/A"/>
    <s v="N/A"/>
    <x v="0"/>
    <s v="N/A"/>
    <s v="N/A"/>
    <s v="N/A"/>
    <s v="N/A"/>
    <s v="N/A"/>
    <s v="DEPENDENCIA FEDERAL  "/>
    <s v="OTRAS INSTANCIAS"/>
    <x v="0"/>
    <x v="5"/>
    <m/>
    <x v="0"/>
    <s v="55 3000 1000"/>
    <s v="alicia.gutierrez@conuee.gob.mx"/>
    <n v="1"/>
    <n v="1"/>
    <n v="0"/>
    <s v="N/A"/>
    <s v="N/A"/>
  </r>
  <r>
    <n v="50"/>
    <s v="182"/>
    <x v="2"/>
    <d v="2026-03-02T00:00:00"/>
    <s v="SEDECO/CGI/TI/0232/2026_x000a_SDPEE/DGAP/745/2026_x000a_"/>
    <s v="AEEH-2*1S.1/01-2026_x000a_ASESORIAS EN MATERIA ENERGÉTICA (VARIOS MUNICIPIOS)"/>
    <s v="ATENDER A LA C. ÁNGELA HERNÁNDEZ GARAY QUIEN SOLICITA APOYO PARA LA ADQUISICIÓN Y COLOCACIÓN DE UN POSTE DE ENERGÍA ELÉCTRICA"/>
    <s v="ING. FRANCISCO"/>
    <s v="ALTO"/>
    <d v="2026-03-05T00:00:00"/>
    <s v="SI"/>
    <s v="SDE-UC-00114-26"/>
    <s v="AEEH/DG/184/2026 DE FECHA 03/03/2026, ENVIADO AL ING. OCTAVIO GÓMEZ PAULIN _x000a_AEEH/DG/233/2026 DE FECHA 23/03/2026, ENVIADO AL ING. OCTAVIO GÓMEZ PAULIN "/>
    <s v="N/A"/>
    <s v="N/A"/>
    <x v="0"/>
    <s v="N/A"/>
    <s v="N/A"/>
    <s v="N/A"/>
    <s v="N/A"/>
    <s v="N/A"/>
    <s v="CIUDADANO (A)"/>
    <s v="ATENCIÓN AL PUEBLO"/>
    <x v="2"/>
    <x v="15"/>
    <s v="LA ESCONDIDA "/>
    <x v="1"/>
    <s v="771 346 9962"/>
    <m/>
    <n v="1"/>
    <n v="4"/>
    <n v="16"/>
    <s v="DIVISION BAJIO"/>
    <s v="ZONA IXMIQUILPAN"/>
  </r>
  <r>
    <n v="51"/>
    <s v="200"/>
    <x v="2"/>
    <d v="2026-03-05T00:00:00"/>
    <s v="IHDM/DGI/224/2026"/>
    <s v="AEEH-2*1S.3/05-2026_x000a_INSTITUTO HIDALGUENSE PARA EL DESARROLLO MUNICIPAL"/>
    <s v="INVITACIÓN A UNA REUNIÓN DE TRABAJO EL 13 DE MARZO EN EL INDEMUN PARA ACORDAR ACCIONES QUE CONTRIBUYAN AL FORTALECIMIENTO DE LAS CAPACIDADES MUNICIPALES."/>
    <s v="ARQ. ORLANDO _x000a_ING. SANDRA"/>
    <s v="MEDIO "/>
    <d v="2026-03-05T00:00:00"/>
    <s v="SI"/>
    <s v="N/A"/>
    <s v="ASISTE ING SANDY Y ARQ. ORLANDO, SE ELABORA REPORTE DE ACTIVIDADES "/>
    <s v="N/A"/>
    <s v="N/A"/>
    <x v="0"/>
    <s v="N/A"/>
    <s v="N/A"/>
    <s v="N/A"/>
    <s v="N/A"/>
    <s v="N/A"/>
    <s v="DEPENDENCIA ESTATAL "/>
    <s v="OTRAS INSTANCIAS"/>
    <x v="0"/>
    <x v="0"/>
    <m/>
    <x v="0"/>
    <s v="771 718 8904"/>
    <m/>
    <n v="1"/>
    <n v="1"/>
    <n v="0"/>
    <s v="N/A"/>
    <s v="N/A"/>
  </r>
  <r>
    <n v="52"/>
    <s v="194"/>
    <x v="2"/>
    <d v="2026-03-04T00:00:00"/>
    <s v="SEDECO/CGI/TI/0233/2026_x000a_SDPEE/DGAP/756/026"/>
    <s v="AEEH-2*1S.1/01-2026_x000a_ASESORIAS EN MATERIA ENERGÉTICA (VARIOS MUNICIPIOS)"/>
    <s v="ATENDER A LA C. ROSA ICELA GODINEZ CARMONA, QUIEN SOLICITA APOYO PARA LA ADQUISICIÓN DE UN SISTEMA  DE FOTOCELDA PARA EL PREESCOLAR COMUNITARIO MONTESSORI"/>
    <s v="ING. FRANCISCO"/>
    <s v="ALTO"/>
    <d v="2026-03-06T00:00:00"/>
    <s v="SI"/>
    <s v="SDE-UCC-07987-26"/>
    <s v="AEEH/DG/202/2026, DE FECHA 10/03/2026, ENVIADO AL ING. OCTAVIO GÓMEZ PAULIN, COORDINADOR DE GESTIÓN INSTITUCIONAL _x000a_AEEH/DG/237/2026, DE FECHA 23/03/2026, ENVIADO AL ING. OCTAVIO GÓMEZ PAULIN, COORDINADOR DE GESTIÓN INSTITUCIONAL _x000a_AEEH/DG/398/2026, DE FECHA 29/04/2026, ENVIADO AL ING. OCTAVIO GÓMEZ PAULIN, COORDINADOR DE GESTIÓN INSTITUCIONAL "/>
    <s v="N/A"/>
    <s v="N/A"/>
    <x v="0"/>
    <s v="N/A"/>
    <s v="N/A"/>
    <s v="N/A"/>
    <s v="N/A"/>
    <s v="N/A"/>
    <s v="CIUDADANO (A)"/>
    <s v="ATENCIÓN AL PUEBLO"/>
    <x v="4"/>
    <x v="16"/>
    <s v="LA LOMA"/>
    <x v="1"/>
    <n v="7711966663"/>
    <m/>
    <n v="1"/>
    <n v="10"/>
    <n v="40"/>
    <s v="GOLFO CENTRO"/>
    <s v="ZONA HUEJUTLA "/>
  </r>
  <r>
    <n v="53"/>
    <s v="197"/>
    <x v="2"/>
    <d v="2026-03-04T00:00:00"/>
    <s v="SEDECO/CGI/TI/0250/2026_x000a_SDPEE/DGAP/708/026"/>
    <s v="AEEH-2*1S.1/01-2026_x000a_ASESORIAS EN MATERIA ENERGÉTICA (VARIOS MUNICIPIOS)"/>
    <s v="ATENDER AL C. FERMIN CISNEROS CISNEROS, QUIEN SOLICITA MEDIACIÓN CON AYUNTAMIENTO PARA QUE OTORGUE PERMISOS PARA CONCLUIR LA AMPLIACIÓN DE LA RED ELECTRICA DE SU LOCALIDAD."/>
    <s v="ING. FRANCISCO"/>
    <s v="ALTO"/>
    <d v="2026-03-06T00:00:00"/>
    <s v="SI"/>
    <s v="SDE-UC-00017-26_x000a__x000a_SDE-CGI-00253-26"/>
    <s v="AEEH/DG/203/2026, DE FECHA 10/03/2026, ENVIADO AL ING. OCTAVIO GÓMEZ PAULIN."/>
    <s v="SI"/>
    <s v="AEEH/DG/310/2026, DE FECHA 10/03/2026, ENVIADO AL MTRO. JESÚS IVÁN RODRÍGUEZ LÓPEZ, SUBDIRECTOR DE INGENIERÍA Y ADMINISTRACIÓN DE LA CONSTRUCCIÓN - CFE"/>
    <x v="2"/>
    <s v="SDZDDH/00116/2026"/>
    <s v="N/A"/>
    <s v="N/A"/>
    <s v="N/A"/>
    <s v="N/A"/>
    <s v="CIUDADANO (A)"/>
    <s v="ATENCIÓN AL PUEBLO"/>
    <x v="2"/>
    <x v="17"/>
    <s v="Pezmatlan"/>
    <x v="0"/>
    <n v="7711126790"/>
    <s v="fermincisneros272@gmail.com"/>
    <n v="1"/>
    <n v="19"/>
    <n v="76"/>
    <s v="GOLFO CENTRO"/>
    <s v="ZONA HUEJUTLA "/>
  </r>
  <r>
    <n v="54"/>
    <s v="198"/>
    <x v="2"/>
    <d v="2026-03-04T00:00:00"/>
    <s v="SEDECO/CGI/TI/0251/2026_x000a_SDPEE/DGAP/782/2026"/>
    <s v="AEEH-2*1S.1/01-2026_x000a_ASESORIAS EN MATERIA ENERGÉTICA (VARIOS MUNICIPIOS)"/>
    <s v="ATENDER A LA C. FÉLIX SÁNCHEZ LICONA, QUIEN SOLICITA APOYO CON LA INSTALACIÓN DE ALUMBRADO PÚBLICO EN CAMINO DE SU LOCALIDAD "/>
    <s v="ING. FRANCISCO"/>
    <s v="ALTO"/>
    <d v="2026-03-06T00:00:00"/>
    <s v="SI"/>
    <s v="SDE-UC-00018-26  _x000a__x000a_SDE-CGI-00239-26"/>
    <s v="AEEH/DG/201/2026, DE FECHA 10/03/2026, ENVIADO AL ING. OCTAVIO GÓMEZ PAULIN._x000a_AEEH/DG/236/2026, DE FECHA 23/03/2026, ENVIADO AL ING. OCTAVIO GÓMEZ PAULIN._x000a_"/>
    <s v="N/A"/>
    <s v="N/A"/>
    <x v="0"/>
    <s v="N/A"/>
    <s v="SI"/>
    <s v="AEEH/DG/241/2026, DE FECHA 23/03/2026, ENVIADO A LA C. MARTHA BELEM OLIVER GONZÁLEZ, PRESIDENTA MUINICIPAL DE OMITLAN DE JUAREZ."/>
    <s v="NO"/>
    <s v="N/A"/>
    <s v="CIUDADANO (A)"/>
    <s v="ATENCIÓN AL PUEBLO"/>
    <x v="3"/>
    <x v="11"/>
    <s v="EL PLAN TAPANCOS "/>
    <x v="0"/>
    <n v="7711879427"/>
    <s v="fey.sanchez036@gmail.com"/>
    <n v="1"/>
    <n v="63"/>
    <n v="250"/>
    <s v="CENTRO ORIENTE"/>
    <s v="ZONA PACHUCA"/>
  </r>
  <r>
    <n v="55"/>
    <s v="202"/>
    <x v="2"/>
    <d v="2026-03-05T00:00:00"/>
    <s v="SEDECO/CGI/TI/0256/2026_x000a_SDPEE/DGAP/846/2026"/>
    <s v="AEEH-2*1S.1/01-2026_x000a_ASESORIAS EN MATERIA ENERGÉTICA (VARIOS MUNICIPIOS)"/>
    <s v="ATENDER A LA C. MARÍA FELIX ESPAÑA ROMERO, QUIEN SOLICITA APOYO CON LA INSTALACIÓN DE RED ELECTRICA PARA SU DOMICILIO  "/>
    <s v="ING. FRANCISCO"/>
    <s v="ALTO"/>
    <d v="2026-03-10T00:00:00"/>
    <s v="SI"/>
    <s v="SDE-UC-00051-26"/>
    <s v="AEEH/DG/234/2026, DE FECHA 23/03/2026, ENVIADO AL ING. OCTAVIO GÓMEZ PAULIN._x000a__x000a_"/>
    <s v="NO"/>
    <s v="N/A"/>
    <x v="0"/>
    <s v="N/A"/>
    <s v="N/A"/>
    <s v="N/A"/>
    <s v="N/A"/>
    <s v="N/A"/>
    <s v="CIUDADANO (A)"/>
    <s v="ATENCIÓN AL PUEBLO"/>
    <x v="2"/>
    <x v="18"/>
    <s v="EJIDO LOMA ANCHA "/>
    <x v="1"/>
    <n v="7751099841"/>
    <m/>
    <n v="1"/>
    <n v="1"/>
    <n v="4"/>
    <s v="GOLFO CENTRO"/>
    <s v="ZONA HUEJUTLA "/>
  </r>
  <r>
    <n v="56"/>
    <s v="203"/>
    <x v="2"/>
    <d v="2026-03-05T00:00:00"/>
    <s v="SEDECO/CGI/TI/0268/2026_x000a__x000a_"/>
    <s v="AEEH-2*1S.1/01-2026_x000a_ASESORIAS EN MATERIA ENERGÉTICA (VARIOS MUNICIPIOS)"/>
    <s v="ATENDER AL C. DANIEL ORTÍZ VÁZQUEZ, QUIEN SOLICITA APOYO PARA EL REEMPLAZO DE LUMINARIAS DE ALUMBRADO PÚBLICO EN SU COMUNIDAD"/>
    <s v="ING. FRANCISCO"/>
    <s v="ALTO"/>
    <d v="2026-03-10T00:00:00"/>
    <s v="SI"/>
    <s v="SDE-CGI-00238-26"/>
    <s v="AEEH/DG/232/2026, DE FECHA 23/03/2026, ENVIDO AL ING. OCTAVIO GÓMEZ PAULIN_x000a_"/>
    <s v="NO"/>
    <s v="N/A"/>
    <x v="0"/>
    <s v="N/A"/>
    <s v="N/A"/>
    <s v="N/A"/>
    <s v="N/A"/>
    <s v="N/A"/>
    <s v="AYUNTAMIENTO  "/>
    <s v="OTRAS INSTANCIAS"/>
    <x v="3"/>
    <x v="16"/>
    <s v="COL. CENTRO "/>
    <x v="0"/>
    <n v="7751502897"/>
    <s v="presidencia@metepechidalgo.gob.mx"/>
    <n v="1"/>
    <n v="400"/>
    <n v="1600"/>
    <s v="GOLFO CENTRO"/>
    <s v="ZONA HUEJUTLA "/>
  </r>
  <r>
    <n v="57"/>
    <s v="204"/>
    <x v="2"/>
    <d v="2026-03-05T00:00:00"/>
    <s v="SEDECO/CGI/TI/0268/2026_x000a_SDPEE/DGAP/893/2026"/>
    <s v="AEEH-2*1S.1/01-2026_x000a_ASESORIAS EN MATERIA ENERGÉTICA (VARIOS MUNICIPIOS)"/>
    <s v="ATENDER A FERNADO DEL RAZO OMAÑA, QUIEN SOLICITA APOYO CON LA AMPLIACIÓN DE LA RED ELECTRICA Y ALUMBRADO PÚBLICO EN SU LOCALIDAD."/>
    <s v="ING. FRANCISCO"/>
    <s v="ALTO"/>
    <d v="2026-03-10T00:00:00"/>
    <s v="SI"/>
    <s v="SDE-UC-00052-26"/>
    <s v="AEEH/DG/235/2026, DE FECHA 23/03/2026, ENVIADO AL ING. OCTAVIO GÓMEZ PAULIN._x000a_"/>
    <s v="NO"/>
    <s v="N/A"/>
    <x v="0"/>
    <s v="N/A"/>
    <s v="SI"/>
    <s v="AEEH/DG/453/2026, DE FECHA 20/05/2026, ENVIADO A LA C. MA. YANET FERNÁNDEZ FERNÁNDEZ, PRESIDENTA MUNICIPAL DE SANTIAGO TULANTEPEC"/>
    <s v="N/A"/>
    <s v="N/A"/>
    <s v="CIUDADANO (A)"/>
    <s v="ATENCIÓN AL PUEBLO"/>
    <x v="2"/>
    <x v="19"/>
    <s v="SAN PEDRO HUATENGO"/>
    <x v="0"/>
    <n v="7752244625"/>
    <s v="27fernando.71@gmail.com"/>
    <n v="1"/>
    <n v="33"/>
    <n v="132"/>
    <s v="CENTRO ORIENTE"/>
    <s v="ZONA TULANCINGO"/>
  </r>
  <r>
    <n v="58"/>
    <s v="208"/>
    <x v="2"/>
    <d v="2026-03-05T00:00:00"/>
    <s v="SEDECO/CGI/TI/0276/2026"/>
    <s v="AEEH-2*1S.4/06-2026_x000a_PROYECTOS PRIORITARIOS SEMARNATH/SEDECO/AEEH"/>
    <s v="INFORMAN SOBRE EL ESTATUS DE LOS PROYECTOS SUSCEPTIBLES A INCORPORAR EN EL POELP E INVITACIÓN A MESA DE TRABJO EL LUNES 09 DE MARZO "/>
    <s v="ARQ. ORLANDO"/>
    <s v="ALTO"/>
    <d v="2026-03-10T00:00:00"/>
    <s v="SI"/>
    <s v=" SDE-AEEH-00348-26"/>
    <s v="EL DÍA 09 DE MARZO, ARQ. ORLANDO Y ARQ. IVONNE ASISTEN A LA REUNIÓN EN LA SALA DE JUNTAS DE SEMARNATH, NO SE DA RESPUESTA MEDIANTE OFICIO AL ING. OCTAVIO GOMEZ PAULIN - COORDINADOR DE GESTIÓN INSTITUCIONAL._x000a_SE ELABORA UN REPORTE DE ACTIVIDADES "/>
    <s v="N/A"/>
    <s v="N/A"/>
    <x v="0"/>
    <s v="N/A"/>
    <s v="N/A"/>
    <s v="N/A"/>
    <s v="N/A"/>
    <s v="N/A"/>
    <s v="DEPENDENCIA ESTATAL "/>
    <s v="OTRAS INSTANCIAS"/>
    <x v="0"/>
    <x v="0"/>
    <m/>
    <x v="0"/>
    <m/>
    <m/>
    <n v="1"/>
    <n v="1"/>
    <n v="0"/>
    <s v="N/A"/>
    <s v="N/A"/>
  </r>
  <r>
    <n v="59"/>
    <s v="224"/>
    <x v="2"/>
    <d v="2026-03-11T00:00:00"/>
    <s v="SEDECO/CGI/TI/0282/2026_x000a_SDPEE/DGAP/993/2026"/>
    <s v="AEEH-2*1S.1/01-2026_x000a_ASESORIAS EN MATERIA ENERGÉTICA (VARIOS MUNICIPIOS)"/>
    <s v="ATENDER AL DELEGADO LEOPOLDO DÍAZ BERISTAIN, QUIEN SOLICITA REALIZAR LA MODERNICACÍON Y AMPLIACIÓN DE LA RED DE ALUMBRADO PÚBLICO DE SU COMUNIDAD"/>
    <s v="ING. FRANCISCO"/>
    <s v="ALTO"/>
    <d v="2026-03-13T00:00:00"/>
    <s v="SI"/>
    <s v="SDE-UC-00091-26"/>
    <s v="AEEH/DG/240/2026, DE FECHA 23/03/2026, ENVIADO AL ING. OCTAVIO GÓMEZ PAULIN._x000a_AEEH/DG/277/2026, DE FECHA 31/03/2026, ENVIADO AL ING. OCTAVIO GÓMEZ PAULIN."/>
    <s v="NO"/>
    <s v="N/A"/>
    <x v="0"/>
    <s v="N/A"/>
    <s v="N/A"/>
    <s v="N/A"/>
    <s v="N/A"/>
    <s v="N/A"/>
    <s v="DELEGADO (A) MUNICIPAL "/>
    <s v="ATENCIÓN AL PUEBLO"/>
    <x v="3"/>
    <x v="20"/>
    <s v="LÁZARO CARDENAS"/>
    <x v="0"/>
    <n v="7712019852"/>
    <m/>
    <n v="1"/>
    <n v="30"/>
    <n v="120"/>
    <s v="CENTRO ORIENTE"/>
    <s v="ZONA TULANCINGO"/>
  </r>
  <r>
    <n v="60"/>
    <s v="225"/>
    <x v="2"/>
    <d v="2026-03-11T00:00:00"/>
    <s v="SEDECO/CGI/TI/0297/2026_x000a_SDPEE/DGAP/1048/2026"/>
    <s v="AEEH-2*1S.1/01-2026_x000a_ASESORIAS EN MATERIA ENERGÉTICA (VARIOS MUNICIPIOS)"/>
    <s v="ATENDER A LA C. TANIA SULEMA CALVA HERRERA, QUIEN SOLICITA LA AMPLIACION DE RED ELECTRICA EN SU COMUNIDAD "/>
    <s v="ING. FRANCISCO"/>
    <s v="ALTO"/>
    <d v="2026-03-13T00:00:00"/>
    <s v="SI"/>
    <s v="SDE-UC-00117-26"/>
    <s v=" AEEH/DG/238/2026, DE FECHA 23/03/2026, ENVIADO AL ING. OCTAVIO GÓMEZ PAULIN._x000a_AEEH/DG/278/2026, DE FECHA 31/03/2026, ENVIADO AL ING. OCTAVIO GÓMEZ PAULIN._x000a_"/>
    <s v="NO"/>
    <s v="N/A"/>
    <x v="0"/>
    <s v="N/A"/>
    <s v="N/A"/>
    <s v="N/A"/>
    <s v="N/A"/>
    <s v="N/A"/>
    <s v="CIUDADANO (A)"/>
    <s v="ATENCIÓN AL PUEBLO"/>
    <x v="2"/>
    <x v="21"/>
    <s v="OJO DE AGUA"/>
    <x v="1"/>
    <n v="7714057898"/>
    <m/>
    <n v="1"/>
    <n v="1"/>
    <n v="0"/>
    <s v="CENTRO ORIENTE"/>
    <s v="ZONA PACHUCA"/>
  </r>
  <r>
    <n v="61"/>
    <s v="226"/>
    <x v="2"/>
    <d v="2026-03-11T00:00:00"/>
    <s v="SEDECO/CGI/TI/0299/2026_x000a_SDPEE/DGAP/1066/2026"/>
    <s v="AEEH-2*1S.1/01-2026_x000a_ASESORIAS EN MATERIA ENERGÉTICA (VARIOS MUNICIPIOS)"/>
    <s v="ATENDER AL C. FRANCISCO SIERRA HERNÁNDEZ, QUIEN SOLICITA APOYO CON EL SERVICIO DE ELECTRIFICACIÓN "/>
    <s v="ING. FRANCISCO"/>
    <s v="ALTO"/>
    <d v="2026-03-13T00:00:00"/>
    <s v="SI"/>
    <s v="SDE-UC-00115-26"/>
    <s v="AEEH/DG/239/2026, DE FECHA 23/03/2026, ENVIADO AL ING. OCTAVIO GÓMEZ PAULIN._x000a_AEEH/DG/279/2026, DE FECHA 31/03/2026, ENVIADO AL ING. OCTAVIO GÓMEZ PAULIN."/>
    <s v="NO"/>
    <s v="N/A"/>
    <x v="0"/>
    <s v="N/A"/>
    <s v="N/A"/>
    <s v="N/A"/>
    <s v="N/A"/>
    <s v="N/A"/>
    <s v="CIUDADANO (A)"/>
    <s v="ATENCIÓN AL PUEBLO"/>
    <x v="3"/>
    <x v="21"/>
    <s v="OJO DE AGUA"/>
    <x v="0"/>
    <n v="6131161333"/>
    <m/>
    <n v="1"/>
    <n v="46"/>
    <n v="184"/>
    <s v="CENTRO ORIENTE"/>
    <s v="ZONA PACHUCA"/>
  </r>
  <r>
    <n v="62"/>
    <s v="227"/>
    <x v="2"/>
    <d v="2026-03-11T00:00:00"/>
    <s v="SEDECO/SIyES/DGES/031/2026_x000a_"/>
    <s v="AEEH-2*1S.4/01-2026 PROMOCIONES TÉCNICAS EN MATERIA ENERGÉTICA (POELP)"/>
    <s v="LA SUBSECRETARIA DE INVERSIONES Y ECONOMIA SECTORIAL SOLICITA LAS COORDENADAS GEOGRAFICAS DE POLIGONOS IDENTIFICADOS PARA EL DERARROLLO DE PROYECTOS U OBRAS PROPUESTAS POR SEDECO (POELP MINERAL DE LA REFORMA)"/>
    <s v="ARQ. DIEGO"/>
    <s v="ALTO"/>
    <d v="2026-03-13T00:00:00"/>
    <s v="SI"/>
    <s v="SDE-DGES-00424-26"/>
    <s v="AEEH/DG/224/2026, DE FECHA 23/03/2026, ENVIADO AL ARQ. ERNESTO CADENA ACOSTA_x000a_"/>
    <s v="N/A"/>
    <s v="N/A"/>
    <x v="0"/>
    <s v="N/A"/>
    <s v="N/A"/>
    <s v="N/A"/>
    <s v="N/A"/>
    <s v="N/A"/>
    <s v="DEPENDENCIA ESTATAL "/>
    <s v="OTRAS INSTANCIAS"/>
    <x v="0"/>
    <x v="0"/>
    <m/>
    <x v="0"/>
    <s v="771 688 6026"/>
    <m/>
    <n v="1"/>
    <n v="1"/>
    <n v="0"/>
    <s v="N/A"/>
    <s v="N/A"/>
  </r>
  <r>
    <n v="63"/>
    <s v="192"/>
    <x v="2"/>
    <d v="2026-03-17T00:00:00"/>
    <s v="CGDI/DPC/2026/OF/045"/>
    <s v="AEEH-2*1S.3/05-2025_x000a_PROYECTOS ENERGETICOS- DHAMMA ENERGY "/>
    <s v="LA COORDINACIÓN GENERAL DE DERECHOS INDIGENAS SOLICITA INFORMACIÓN DE LOS PROYECTOS DE PARQUES FOTOVOLTAICOS &quot;SATURNO SOLAR&quot;, AKUWA SOLAR&quot;, &quot;DELFIN SOLAR&quot; PROMOVIDOS POR LA EMPRESA DHAMMA ENERGY MEXICO "/>
    <s v="ARQ. DIEGO"/>
    <s v="ALTO"/>
    <d v="2026-03-13T00:00:00"/>
    <s v="SI"/>
    <s v="N/A"/>
    <s v="SE DA RESPUESTA CON OFICIO SEDECO/0321/2026, DE FECHA 12/03/2026, ENVIADO AL LIC. ADELFO REGINO MONTES"/>
    <s v="N/A"/>
    <s v="N/A"/>
    <x v="0"/>
    <s v="N/A"/>
    <s v="N/A"/>
    <s v="N/A"/>
    <s v="N/A"/>
    <s v="N/A"/>
    <s v="DEPENDENCIA ESTATAL "/>
    <s v="OTRAS INSTANCIAS"/>
    <x v="0"/>
    <x v="5"/>
    <m/>
    <x v="0"/>
    <m/>
    <m/>
    <n v="1"/>
    <n v="1"/>
    <n v="0"/>
    <s v="N/A"/>
    <s v="N/A"/>
  </r>
  <r>
    <n v="64"/>
    <s v="233"/>
    <x v="2"/>
    <d v="2026-03-13T00:00:00"/>
    <s v="SEDECO/CGI/TI/0307/2026_x000a_SDPEE/DGAP/1139/2026"/>
    <s v="AEEH-2*1S.1/01-2026_x000a_ASESORIAS EN MATERIA ENERGÉTICA (VARIOS MUNICIPIOS)"/>
    <s v="ATENDER A JUAN CARLOS VITE GUERRERO, QUIEN SOLICITA LA DONACIÓN DE 15 LAMPARAS DE ALUMBRADO PUBLICO."/>
    <s v="ING. FRANCISCO"/>
    <s v="ALTO"/>
    <d v="2026-03-19T00:00:00"/>
    <s v="SI"/>
    <s v="SDE-UC-00135-26"/>
    <s v="AEEH/DG/243/2026, DE FECHA 23/03/2026, ENVIADO AL ARQ. ERNESTO CADENA ACOSTA_x000a_AEEH/DG/280/2026, DE FECHA 31/03/2026, ENVIADO AL ING. OCTAVIO GOMEZ PAULIN "/>
    <s v="N/A"/>
    <s v="N/A"/>
    <x v="0"/>
    <s v="N/A"/>
    <s v="N/A"/>
    <s v="N/A"/>
    <s v="N/A"/>
    <s v="N/A"/>
    <s v="CIUDADANO (A)"/>
    <s v="ATENCIÓN AL PUEBLO"/>
    <x v="3"/>
    <x v="22"/>
    <s v="TECOJOTAL"/>
    <x v="0"/>
    <n v="7712089709"/>
    <s v="viteguerrerojuancarlos@gmail.com"/>
    <n v="1"/>
    <n v="203"/>
    <n v="810"/>
    <s v="CENTRO ORIENTE"/>
    <s v="ZONA TULANCINGO"/>
  </r>
  <r>
    <n v="65"/>
    <s v="234"/>
    <x v="2"/>
    <d v="2026-03-13T00:00:00"/>
    <s v="SEDECO/CGI/TI/0308/2026_x000a_SDPEE/DGAP/1145/2026"/>
    <s v="AEEH-2*1S.1/01-2026_x000a_ASESORIAS EN MATERIA ENERGÉTICA (VARIOS MUNICIPIOS)"/>
    <s v="ATENDER AL C. JORGE FRANCO ROMERO, QUIEN SOLICITA APOYO PARA ELECTRIFICAR SU COLONIA "/>
    <s v="ING. FRANCISCO"/>
    <s v="ALTO"/>
    <d v="2026-03-19T00:00:00"/>
    <s v="SI"/>
    <s v="SDE-UC-00136-26"/>
    <s v="OFICIO AEEH/DG/242/2026, DE FECHA 23/03/2026, ENVIADO AL ING. OCTAVIO GOMEZ PAULIN _x000a_OFICIO AEEH/DG/281/2026, DE FECHA 31/03/2026, ENVIADO AL ING. OCTAVIO GOMEZ PAULIN _x000a_"/>
    <s v="N/A"/>
    <s v="N/A"/>
    <x v="0"/>
    <s v="N/A"/>
    <s v="N/A"/>
    <s v="N/A"/>
    <s v="N/A"/>
    <s v="N/A"/>
    <s v="CIUDADANO (A)"/>
    <s v="ATENCIÓN AL PUEBLO"/>
    <x v="2"/>
    <x v="23"/>
    <s v="GRANJAS DE GUADALUPE "/>
    <x v="0"/>
    <n v="7751462045"/>
    <m/>
    <n v="1"/>
    <n v="25"/>
    <n v="100"/>
    <s v="CENTRO ORIENTE"/>
    <s v="ZONA TULANCINGO"/>
  </r>
  <r>
    <n v="66"/>
    <s v="248"/>
    <x v="2"/>
    <d v="2026-03-13T00:00:00"/>
    <s v="IHDM/DG/255/2026"/>
    <s v="AEEH-2*1S.3/05-2026_x000a_INSTITUTO HIDALGUENSE PARA EL DESARROLLO MUNICIPAL"/>
    <s v="PLAN DE ACCIÓN RESPECTO AL MODULO 5 DE NOMBRE &quot;MEDIO AMBIENTE&quot;, &quot;CAMBIO CLIMATICO&quot;, &quot;SERVICIOS PUBLICOS SUSTENTABLES DE LA GUIA CONSULTIVA DE DESEMPEÑO MUNICIPAL&quot;"/>
    <s v="ING. SANDRA"/>
    <s v="ALTO"/>
    <d v="2026-03-19T00:00:00"/>
    <s v="SI"/>
    <s v="N/A"/>
    <s v="POR MOTIVOS DE SATURACIÓN EN LA AGENDA DE TRABAJO, NO SE DA RESPUESTA AL OFICIO "/>
    <s v="N/A"/>
    <s v="N/A"/>
    <x v="0"/>
    <s v="N/A"/>
    <s v="N/A"/>
    <s v="N/A"/>
    <s v="N/A"/>
    <s v="N/A"/>
    <s v="DEPENDENCIA ESTATAL "/>
    <s v="OTRAS INSTANCIAS"/>
    <x v="0"/>
    <x v="0"/>
    <m/>
    <x v="0"/>
    <m/>
    <m/>
    <n v="1"/>
    <n v="1"/>
    <n v="0"/>
    <s v="N/A"/>
    <s v="N/A"/>
  </r>
  <r>
    <n v="67"/>
    <s v="249"/>
    <x v="2"/>
    <d v="2026-03-19T00:00:00"/>
    <s v="S/N"/>
    <s v="AEEH-2*1S.3/05-2026_x000a_INSTITUTO HIDALGUENSE PARA EL DESARROLLO MUNICIPAL"/>
    <s v="LA SECRETARIA DE ENERGÍA, CONVOCA A LOS MUNICIPIOS INTERESADOS EN LELVAR A CABO ACCIONES DE EFICIENCIA ENERGETICA EN SU ALUMBRADO PUBLICO "/>
    <s v="ING. SANDRA"/>
    <s v="ALTO"/>
    <d v="2026-03-19T00:00:00"/>
    <s v="SI"/>
    <s v="N/A"/>
    <s v="SE ENVIA A LOS 84 MUNICIPIOS LA CIRCULAR AEEH/DG/003/2026, INVITANDOLOS A PARTICIPAR EN DICHA CONVOCATORIA "/>
    <s v="N/A"/>
    <s v="N/A"/>
    <x v="0"/>
    <s v="N/A"/>
    <s v="N/A"/>
    <s v="N/A"/>
    <s v="N/A"/>
    <s v="N/A"/>
    <s v="DEPENDENCIA FEDERAL  "/>
    <s v="OTRAS INSTANCIAS"/>
    <x v="0"/>
    <x v="5"/>
    <m/>
    <x v="2"/>
    <m/>
    <m/>
    <n v="1"/>
    <n v="1"/>
    <n v="0"/>
    <s v="N/A"/>
    <s v="N/A"/>
  </r>
  <r>
    <n v="68"/>
    <s v="243"/>
    <x v="2"/>
    <d v="2026-03-18T00:00:00"/>
    <s v="SEMANATH/DESP/SSyCC/DGCC-000178-2026"/>
    <s v="AEEH-2*1S.4/07-2026_x000a_PROGRAMA ESTATAL DE ACCIÓN ANTE EL CAMBIO CLIMATICO DE HIDALGO / COMISIÓN ESTATAL INTERSECTORIAL DEL CAMBIO CLIMATICO "/>
    <s v="INVITACIÓN PARA PARTICIPAR EN EL TALLER DE DESARROLLO DE CAPACIDADES PARA LA IMPLEMENTACIÓN DE LA POLITICA CLIMATICA EN EL ESTADO DE HIDALGO."/>
    <s v="ARQ. DIEGO"/>
    <s v="ALTO"/>
    <d v="2026-03-23T00:00:00"/>
    <s v="SI"/>
    <s v="N/A"/>
    <s v="ARQ. DIEGO ASISTE AL TALLER, SE ELABORA TARJETA INFORMATIVA"/>
    <s v="N/A"/>
    <s v="N/A"/>
    <x v="0"/>
    <s v="N/A"/>
    <s v="N/A"/>
    <s v="N/A"/>
    <s v="N/A"/>
    <s v="N/A"/>
    <s v="DEPENDENCIA ESTATAL "/>
    <s v="OTRAS INSTANCIAS"/>
    <x v="0"/>
    <x v="0"/>
    <m/>
    <x v="1"/>
    <s v="771 107 1304"/>
    <m/>
    <n v="1"/>
    <n v="1"/>
    <n v="0"/>
    <s v="N/A"/>
    <s v="N/A"/>
  </r>
  <r>
    <n v="69"/>
    <s v="251"/>
    <x v="2"/>
    <d v="2026-03-19T00:00:00"/>
    <s v="SEDECO/CAYP/0366/2026"/>
    <s v="AEEH-2*1S.3/06-2026_x000a_PROYECTO DE OFICINAS DE LA AEEH"/>
    <s v="SOLICITUD DE INFORMACIÓN PARA EL PROYECTO DE LA REUBICACIÓN DE LAS OFICINAS DE LA SECRETARÍA DE DESARROLLO ECONOMICO Y ORGANISMOS DESCENTRALIZADOS "/>
    <s v="ARQ. DIEGO"/>
    <s v="ALTO"/>
    <d v="2026-03-24T00:00:00"/>
    <s v="SI"/>
    <s v="SDE-SRMAT-00254-26"/>
    <s v="AEEH/DG/262/2026, DE FECHA 27/03/2026, ENVIADO A LA MTRA. JESSICA ESPERANZA GONZÁLEZ DÍAZ, COORDINADORA DE ADMINISTRACIÓN Y PLANEACIÓN DE SEDECO "/>
    <s v="N/A"/>
    <s v="N/A"/>
    <x v="0"/>
    <s v="N/A"/>
    <s v="N/A"/>
    <s v="N/A"/>
    <s v="N/A"/>
    <s v="N/A"/>
    <s v="DEPENDENCIA ESTATAL "/>
    <s v="OTRAS INSTANCIAS"/>
    <x v="0"/>
    <x v="0"/>
    <m/>
    <x v="1"/>
    <m/>
    <m/>
    <n v="1"/>
    <n v="1"/>
    <n v="0"/>
    <s v="N/A"/>
    <s v="N/A"/>
  </r>
  <r>
    <n v="70"/>
    <s v="253"/>
    <x v="2"/>
    <d v="2026-03-20T00:00:00"/>
    <s v="SEDECO/CGI/TI/0317/2026_x000a_SDPEE/DGAP/1203/2026"/>
    <s v="AEEH-2*1S.1/01-2026_x000a_ASESORIAS EN MATERIA ENERGÉTICA (VARIOS MUNICIPIOS)"/>
    <s v="ATENDER A LA C. MARIA FELIX GALICIA CHILINO, QUIEN SOLICITA APOYO PARA ACCEDER AL SERVICIO DE ENERGIA ELECTRICA EN SU DOMICILIO "/>
    <s v="ING. FRANCISCO"/>
    <s v="ALTO"/>
    <d v="2026-03-24T00:00:00"/>
    <s v="SI"/>
    <s v="SDE-UC-00137-26"/>
    <s v="AEEH/DG/258/2026, DE FECHA 27/03/2026, ENVIADO AL ING. OCTAVIO GÓMEZ PAULIN._x000a_"/>
    <s v="SI"/>
    <s v="AEEH/DG/308/2026, DE FECHA 10/04/2026, ENVIADO AL ING. GILBERTO LEÓN ORDAZ, SUPERINTENDENTE EF - CFE ZONA TULANCINGO "/>
    <x v="2"/>
    <s v="GLO-099-2026"/>
    <s v="N/A"/>
    <s v="N/A"/>
    <s v="N/A"/>
    <s v="N/A"/>
    <s v="CIUDADANO (A)"/>
    <s v="ATENCIÓN AL PUEBLO"/>
    <x v="2"/>
    <x v="22"/>
    <s v="TLAMIMILOLPA"/>
    <x v="1"/>
    <n v="7711222241"/>
    <m/>
    <n v="1"/>
    <n v="1"/>
    <n v="4"/>
    <s v="CENTRO ORIENTE"/>
    <s v="ZONA TULANCINGO"/>
  </r>
  <r>
    <n v="71"/>
    <s v="254"/>
    <x v="2"/>
    <d v="2026-03-20T00:00:00"/>
    <s v="SEDECO/CGI/TI/0318/2026_x000a_SDPEE/DGAP/1214/2026"/>
    <s v="AEEH-2*1S.1/01-2026_x000a_ASESORIAS EN MATERIA ENERGÉTICA (VARIOS MUNICIPIOS)"/>
    <s v="ATENDER AL C. ANTONIO PASCAL MORALES, QUIEN SOLICITA APOYO PARA QUE PUEDAN SER BENEFICIARIOS CON EL SERVICIO DE ELECTRIFICACIÓN"/>
    <s v="ING. FRANCISCO"/>
    <s v="ALTO"/>
    <d v="2026-03-24T00:00:00"/>
    <s v="SI"/>
    <s v="SDE-UC-00138-26"/>
    <s v="AEEH-DG-256-2026, DE FECHA 27/03/2026, ENVIADO AL ING. OCTAVIO GÓMEZ PAULIN._x000a_AEEH-DG-302-2026, DE FECHA 07/04/2026, ENVIADO AL ING. OCTAVIO GÓMEZ PAULIN COORDINADOR DE GESTIÓN INSTITUCIONAL"/>
    <s v="NO"/>
    <s v="N/A"/>
    <x v="0"/>
    <s v="N/A"/>
    <s v="N/A"/>
    <s v="N/A"/>
    <s v="N/A"/>
    <s v="N/A"/>
    <s v="CIUDADANO (A)"/>
    <s v="ATENCIÓN AL PUEBLO"/>
    <x v="3"/>
    <x v="24"/>
    <s v="COL. PROGRESISTA 2000"/>
    <x v="0"/>
    <n v="7753093329"/>
    <m/>
    <n v="1"/>
    <n v="63"/>
    <n v="250"/>
    <s v="CENTRO ORIENTE"/>
    <s v="ZONA TULANCINGO"/>
  </r>
  <r>
    <n v="72"/>
    <s v="255"/>
    <x v="2"/>
    <d v="2026-03-20T00:00:00"/>
    <s v="SEDECO/CGI/TI/0319/2026_x000a_SDPEE/DGAP/1274/2026"/>
    <s v="AEEH-2*1S.1/01-2026_x000a_ASESORIAS EN MATERIA ENERGÉTICA (VARIOS MUNICIPIOS)"/>
    <s v="ATENDER A LA C. YAZMIN CARIDAD PEÑA GUZMÁN, QUIEN SOLICITA APOYO PARA REUBICAR UN POSTE Y UN TRANSFORMADOR DENTRO DE LA ESCUELA PRIMARIA &quot;VICENTE GUERRERO&quot;"/>
    <s v="ING. FRANCISCO"/>
    <s v="ALTO"/>
    <d v="2026-03-24T00:00:00"/>
    <s v="SI"/>
    <s v="SDE-UC-00163-26"/>
    <s v="AEEH/DG/397/2026, DE FECHA 28/04/2026, ENVIADO AL ING. OCTAVIO GÓMEZ PAULIN, COORDINADOR DE GESTIÓN INSTITUCIONAL "/>
    <s v="SI"/>
    <s v="AEEH/DG/306/2026, DE FECHA 10/04/2026, ENVIADO AL ING. GILBERTO LEÓN ORDAZ SUPERINTENDENTE EF - CFE ZONA TULANCINGO "/>
    <x v="2"/>
    <s v="GLO-107-2026"/>
    <s v="N/A"/>
    <s v="N/A"/>
    <s v="N/A"/>
    <s v="N/A"/>
    <s v="CIUDADANO (A)"/>
    <s v="ATENCIÓN AL PUEBLO"/>
    <x v="1"/>
    <x v="22"/>
    <m/>
    <x v="1"/>
    <n v="7761060828"/>
    <m/>
    <n v="1"/>
    <n v="1"/>
    <n v="4"/>
    <s v="CENTRO ORIENTE"/>
    <s v="ZONA TULANCINGO"/>
  </r>
  <r>
    <n v="73"/>
    <s v="256"/>
    <x v="2"/>
    <d v="2026-03-20T00:00:00"/>
    <s v="SEDECO/CGI/TI/0325/2026_x000a_SDPEE/DGAP/1317/2026"/>
    <s v="AEEH-2*1S.1/01-2026_x000a_ASESORIAS EN MATERIA ENERGÉTICA (VARIOS MUNICIPIOS)"/>
    <s v="ATENDER AL C. JOEL SANCHEZ SANTOS, QUIEN SOLICITA APOYO PARA QUE PUEDA CONTAR CON SERVICIO DE ENERGIA ELÉCTRICA EN SU LOCALIDAD"/>
    <s v="ING. FRANCISCO"/>
    <s v="ALTO"/>
    <d v="2026-03-24T00:00:00"/>
    <s v="SI"/>
    <s v="SDE-UC-00173-26"/>
    <s v="AEEH/DG/282/2026, DE FECHA 31/03/2026, ENVIADO AL ING. OCTAVIO GÓMEZ PAULIN._x000a_AEEH/DG/289/2026, DE FECHA 06/04/2026, ENVIADO AL ING. OCTAVIO GÓMEZ PAULIN."/>
    <s v="NO"/>
    <s v="N/A"/>
    <x v="0"/>
    <s v="N/A"/>
    <s v="N/A"/>
    <s v="N/A"/>
    <s v="N/A"/>
    <s v="N/A"/>
    <s v="CIUDADANO (A)"/>
    <s v="ATENCIÓN AL PUEBLO"/>
    <x v="2"/>
    <x v="4"/>
    <s v="LA OLLA "/>
    <x v="0"/>
    <n v="7711501712"/>
    <s v="smarikarla@yahoo.com.mx"/>
    <n v="1"/>
    <n v="17"/>
    <n v="67"/>
    <s v="CENTRO ORIENTE"/>
    <s v="ZONA PACHUCA"/>
  </r>
  <r>
    <n v="74"/>
    <s v="257"/>
    <x v="2"/>
    <d v="2026-03-20T00:00:00"/>
    <s v="SEDECO/CGI/TI/0347/2026_x000a_SDPEE/DGAP/1403/2026"/>
    <s v="AEEH-2*1S.1/01-2026_x000a_ASESORIAS EN MATERIA ENERGÉTICA (VARIOS MUNICIPIOS)"/>
    <s v="ATENDER AL C. FEDERICO ALFREDO CAZAREZ LOPEZ, QUIEN SOLICITA APOYO PARA REUBICAR UN POSTE DE ENERGIA ELECTRICA QUE SE ENCUENTRA EN SU PROPIEDAD."/>
    <s v="ING. FRANCISCO"/>
    <s v="ALTO"/>
    <d v="2026-03-24T00:00:00"/>
    <s v="SI"/>
    <s v="SDE-UC-00198-26"/>
    <s v="AEEH/DG/259/2026, DE FECHA 27/03/2026, ENVIADO AL ING. OCTAVIO GÓMEZ PAULIN._x000a_AEEH/DG/290/2026, DE FECHA 06/04/2026, ENVIADO AL ING. OCTAVIO GÓMEZ PAULIN._x000a_"/>
    <s v="SI"/>
    <s v="AEEH/DG/307/2026, DE FECHA 10/04/2026, ENVIADO AL ING. GILBERTO LEON ORDAZ SUPERINTENDENTE EF - CFE ZONA TULANCINGO"/>
    <x v="2"/>
    <s v="MMHR-223-2026_x000a_GLO-123-2026"/>
    <s v="N/A"/>
    <s v="N/A"/>
    <s v="N/A"/>
    <s v="N/A"/>
    <s v="CIUDADANO (A)"/>
    <s v="ATENCIÓN AL PUEBLO"/>
    <x v="1"/>
    <x v="23"/>
    <m/>
    <x v="0"/>
    <n v="7911003559"/>
    <s v="CITLALLI.CAZARESDEJESUS@GMAIL.COM"/>
    <n v="1"/>
    <n v="1"/>
    <n v="4"/>
    <s v="CENTRO ORIENTE"/>
    <s v="ZONA TULANCINGO"/>
  </r>
  <r>
    <n v="75"/>
    <s v="258"/>
    <x v="2"/>
    <d v="2026-03-20T00:00:00"/>
    <s v="SEDECO/CGI/TI/0349/2026_x000a_SDPEE/DGAP/1394/2026"/>
    <s v="AEEH-2*1S.1/01-2026_x000a_ASESORIAS EN MATERIA ENERGÉTICA (VARIOS MUNICIPIOS)"/>
    <s v="ATENDER A LA C. MA. EUGENIA MONROY LOPEZ, QUIEN SOLICITA APOYO PARA QUE SU VIVIENDA CUENTE CON SERVICIO DE ENERGIA ELECTRICA "/>
    <s v="ING. FRANCISCO"/>
    <s v="ALTO"/>
    <d v="2026-03-24T00:00:00"/>
    <s v="SI"/>
    <s v="SDE-UC-00191-26"/>
    <s v="AEEH/DG/257/2026, DE FECHA 27/03/2026, ENVIADO AL ING. OCTAVIO GOMEZ PAULIN. _x000a_AEEH/DG/303/2026, DE FECHA 08/04/2026, ENVIADO AL ING. OCTAVIO GOMEZ PAULIN COORDINADOR DE GESTION INSTITUCIONAL._x000a_"/>
    <s v="NO"/>
    <s v="N/A"/>
    <x v="0"/>
    <s v="N/A"/>
    <s v="SI"/>
    <s v="AEEH/DG/392/2026, DE FECHA 28/04/2026, ENVIADO A LA C. MA. EUGENIA MONROY LÓPEZ, PETICIONARIA DEL MUNICIPIO DE TEPEAPULCO."/>
    <s v="NO"/>
    <s v="N/A"/>
    <s v="CIUDADANO (A)"/>
    <s v="ATENCIÓN AL PUEBLO"/>
    <x v="2"/>
    <x v="23"/>
    <s v="SAHAGUN"/>
    <x v="1"/>
    <n v="7713932455"/>
    <m/>
    <n v="1"/>
    <n v="1"/>
    <n v="4"/>
    <s v="CENTRO ORIENTE"/>
    <s v="ZONA TULANCINGO"/>
  </r>
  <r>
    <n v="76"/>
    <s v="259"/>
    <x v="2"/>
    <d v="2026-03-20T00:00:00"/>
    <s v="SEDECO/CGI/TI/0353/2026_x000a_SDPEE/DGAP/1414/2026"/>
    <s v="AEEH-2*1S.1/01-2026_x000a_ASESORIAS EN MATERIA ENERGÉTICA (VARIOS MUNICIPIOS)"/>
    <s v="ATENDER A LA C. JULIA CALZADA, QUIEN SOLICITA LA COLOCACIÓN DE LUMINARIAS EN LA AVENIDA PRINCIPAL DE SU LOCALIDAD"/>
    <s v="ING. FRANCISCO"/>
    <s v="ALTO"/>
    <d v="2026-03-24T00:00:00"/>
    <s v="SI"/>
    <s v="SDE-UC-00201-26"/>
    <s v="AEEH/DG/260/2026, DE FECHA 27/03/2026, ENVIADO AL ING. OCTAVIO GÓMEZ PAULIN._x000a_AEEH/DG/291/2026, DE FECHA 06/04/2026, ENVIADO AL ING. OCTAVIO GÓMEZ PAULIN."/>
    <s v="NO"/>
    <s v="N/A"/>
    <x v="0"/>
    <s v="N/A"/>
    <s v="N/A"/>
    <s v="N/A"/>
    <s v="N/A"/>
    <s v="N/A"/>
    <s v="CIUDADANO (A)"/>
    <s v="ATENCIÓN AL PUEBLO"/>
    <x v="3"/>
    <x v="23"/>
    <m/>
    <x v="1"/>
    <n v="5614833301"/>
    <m/>
    <n v="1"/>
    <n v="37.5"/>
    <n v="150"/>
    <s v="CENTRO ORIENTE"/>
    <s v="ZONA TULANCINGO"/>
  </r>
  <r>
    <n v="77"/>
    <s v="265"/>
    <x v="2"/>
    <d v="2026-03-30T00:00:00"/>
    <s v="CEDSPI/DGAPI/082/2026"/>
    <s v="AEEH-2*1S.5/03-2026_x000a_FOTEASE SFV BOMBEOS "/>
    <s v="INFORMAR EL ESTAUS DEL OFICIO CEDSPI/DC/428/2025, DONDE EL COMISIONADO ESTATAL PARA EL DESARROLLO SOSTENIBLE DE LOS PUEBLOS INDIGENAS, SOLICITA DATOS PARA EJECUTAR RECURSOS EN &quot;TRANSICION ENERGETICA&quot; DEL FOTEASE"/>
    <s v="ARQ. DIEGO"/>
    <s v="ALTO"/>
    <d v="2026-03-30T00:00:00"/>
    <s v="SI"/>
    <s v="SDE-AEEH-00271-25"/>
    <s v="AEEH/DG/321/2026, DE FECHA 13/04/2023, ENVIADO A LA MTRA. LUZ ELENA GONZALEZ ESCOBAR DE LA SECRETARÍA DE ENERGÍA (SENER)"/>
    <s v="N/A"/>
    <s v="N/A"/>
    <x v="0"/>
    <s v="N/A"/>
    <s v="N/A"/>
    <s v="N/A"/>
    <s v="N/A"/>
    <s v="N/A"/>
    <s v="DEPENDENCIA ESTATAL "/>
    <s v="OTRAS INSTANCIAS"/>
    <x v="0"/>
    <x v="5"/>
    <m/>
    <x v="0"/>
    <s v="771 473 7073"/>
    <m/>
    <n v="1"/>
    <n v="1"/>
    <n v="0"/>
    <s v="N/A"/>
    <s v="N/A"/>
  </r>
  <r>
    <n v="78"/>
    <s v="268"/>
    <x v="2"/>
    <d v="2026-03-30T00:00:00"/>
    <s v="SEDECO/CGI/TI/0365/2026_x000a_SDPEE/DGAP/1511/2026"/>
    <s v="AEEH-2*1S.1/01-2026_x000a_ASESORIAS EN MATERIA ENERGÉTICA (VARIOS MUNICIPIOS)"/>
    <s v="ATENDER A LUCILA ISLAS GUTIERREZ, CON LA OBRA &quot;AMPLIACIÓN DE RED DE LUZ ELECTRICA&quot;"/>
    <s v="ING. FRANCISCO"/>
    <s v="ALTO"/>
    <d v="2026-03-30T00:00:00"/>
    <s v="SI"/>
    <s v="SDE-UC-00236-26"/>
    <s v="AEEH/DG/292/2026, DE FECHA 06/04/2026, ENVIADO AL ING. OCTAVIO GÓMEZ PAULIN._x000a_ "/>
    <s v="SI"/>
    <s v="AEEH/DG/347/2026, DE FECHA 17/04/2026, ENVIADO AL ING. VÍCTOR ISRAEL ALARCÓN HEREDIA, SUPERINTENDETNE DE LA CFE ZONA PACHUCA"/>
    <x v="2"/>
    <s v="MMHR-245-2026"/>
    <s v="N/A"/>
    <s v="N/A"/>
    <s v="N/A"/>
    <s v="N/A"/>
    <s v="CIUDADANO (A)"/>
    <s v="ATENCIÓN AL PUEBLO"/>
    <x v="2"/>
    <x v="4"/>
    <s v="COL. SAN RAFAEL "/>
    <x v="1"/>
    <n v="5536444499"/>
    <m/>
    <n v="1"/>
    <n v="10"/>
    <n v="40"/>
    <s v="CENTRO ORIENTE"/>
    <s v="ZONA PACHUCA"/>
  </r>
  <r>
    <n v="79"/>
    <s v="269"/>
    <x v="2"/>
    <d v="2026-03-30T00:00:00"/>
    <s v="SEDECO/CGI/TI/0366/2026_x000a_SDPEE/DGAP/1512/2026"/>
    <s v="AEEH-2*1S.1/01-2026_x000a_ASESORIAS EN MATERIA ENERGÉTICA (VARIOS MUNICIPIOS)"/>
    <s v="ATENDER A LUCIA ISLAS GUTIERREZ, QUIEN SOLICITA APOYO CON LA INSTALACIÓN DE 10 LAMPARAS DE ALUMBRADO PÚBLICO EN SU COLONIA."/>
    <s v="ING. FRANCISCO"/>
    <s v="ALTO"/>
    <d v="2026-03-30T00:00:00"/>
    <s v="SI"/>
    <s v="SDE-UC-00235-26"/>
    <s v="AEEH/DG/293/2026, DE FECHA 06/04/2026, ENVIADO AL ING. OCTAVIO GÓMEZ PAULIN._x000a_"/>
    <s v="NO"/>
    <s v="N/A"/>
    <x v="0"/>
    <s v="N/A"/>
    <s v="SI "/>
    <s v="AEEH/DG/391/2026, DE FECHA 28/04/2026, ENVIADO AL DR. FÉLIX ÁVILA CASTELÁN, PRESIDENTE MUNICIPAL CONSTITUCIONAL DE TEPEAPULCO."/>
    <s v="NO"/>
    <s v="N/A"/>
    <s v="CIUDADANO (A)"/>
    <s v="ATENCIÓN AL PUEBLO"/>
    <x v="3"/>
    <x v="4"/>
    <s v="COL. SAN RAFAEL "/>
    <x v="1"/>
    <n v="5536444499"/>
    <m/>
    <n v="1"/>
    <n v="25"/>
    <n v="100"/>
    <s v="CENTRO ORIENTE"/>
    <s v="ZONA PACHUCA"/>
  </r>
  <r>
    <n v="80"/>
    <s v="270"/>
    <x v="2"/>
    <d v="2026-03-30T00:00:00"/>
    <s v="SEDECO/CGI/TI/0367/2026_x000a_SDPEE/DGAP/1532/2026"/>
    <s v="AEEH-2*1S.1/01-2026_x000a_ASESORIAS EN MATERIA ENERGÉTICA (VARIOS MUNICIPIOS)"/>
    <s v="ATENDER A JORGE ANTONIO CRAVIOTO BAUTISTA, QUIEN SOLICITA LA COLOCACIÓN DE 5 POSTES PARA LA AMPLIACIÓN DE LUZ EN SU COLONIA."/>
    <s v="ING. FRANCISCO"/>
    <s v="ALTO"/>
    <d v="2026-03-30T00:00:00"/>
    <s v="SI"/>
    <s v="SDE-UC-00237-26"/>
    <s v="AEEH/DG/294/2026, DE FECHA 06/04/2026, ENVIADO AL ING. OCTAVIO GÓMEZ PAULIN._x000a_AEEH/DG/343/2026, DE FECHA 17/04/2026, ENVIADO AL ING. OCTAVIO GÓMEZ PAULIN."/>
    <s v="NO"/>
    <s v="N/A"/>
    <x v="0"/>
    <s v="N/A"/>
    <s v="N/A"/>
    <s v="N/A"/>
    <s v="N/A"/>
    <s v="N/A"/>
    <s v="CIUDADANO (A)"/>
    <s v="ATENCIÓN AL PUEBLO"/>
    <x v="2"/>
    <x v="4"/>
    <s v="SAN JUAN TEPEMAZALCO"/>
    <x v="0"/>
    <n v="7717734654"/>
    <m/>
    <n v="1"/>
    <n v="20"/>
    <n v="80"/>
    <s v="CENTRO ORIENTE"/>
    <s v="ZONA PACHUCA"/>
  </r>
  <r>
    <n v="81"/>
    <s v="271"/>
    <x v="2"/>
    <d v="2026-03-30T00:00:00"/>
    <s v="SEDECO/CGI/TI/0368/2026_x000a_SDPEE/DGAP/1568/2026"/>
    <s v="AEEH-2*1S.1/01-2026_x000a_ASESORIAS EN MATERIA ENERGÉTICA (VARIOS MUNICIPIOS)"/>
    <s v="ATENDER A MARIA DE JESUS DE LUCIO IBARRA, QUIEN SOLICITA LA COLOCACIÓN DE 2 POSTES DE LUZ PARA LA AMPLIACIÓN DE ENERGIA ELECTRICA EN SU COMUNIDAD "/>
    <s v="ING. FRANCISCO"/>
    <s v="ALTO"/>
    <d v="2026-03-30T00:00:00"/>
    <s v="SI"/>
    <s v="SDE-UC-00242-26"/>
    <s v="AEEH/DG/295/2026, DE FECHA 06/04/2026, ENVIADO AL ING. OCTAVIO GÓMEZ PAULIN._x000a_AEEH/DG/344/2026, DE FECHA 17/04/2026, ENVIADO AL ING. OCTAVIO GÓMEZ PAULIN."/>
    <s v="NO"/>
    <s v="N/A"/>
    <x v="0"/>
    <s v="N/A"/>
    <s v="N/A"/>
    <s v="N/A"/>
    <s v="N/A"/>
    <s v="N/A"/>
    <s v="CIUDADANO (A)"/>
    <s v="ATENCIÓN AL PUEBLO"/>
    <x v="2"/>
    <x v="4"/>
    <s v="TEPEYAHUALCO "/>
    <x v="1"/>
    <n v="7711235578"/>
    <m/>
    <n v="1"/>
    <n v="10"/>
    <n v="40"/>
    <s v="CENTRO ORIENTE"/>
    <s v="ZONA PACHUCA"/>
  </r>
  <r>
    <n v="82"/>
    <s v="272"/>
    <x v="2"/>
    <d v="2026-03-30T00:00:00"/>
    <s v="SEDECO/CGI/TI/0369/2026_x000a_SDPEE/DGAP/1605/2026"/>
    <s v="AEEH-2*1S.1/01-2026_x000a_ASESORIAS EN MATERIA ENERGÉTICA (VARIOS MUNICIPIOS)"/>
    <s v="ATENDER A ERNESTO VÁZQUEZ GÓMEZ, QUIEN SOLICITA LA ELECTRIFICACIÓN DE DIVERSAS CALLES DE SU LOCALIDAD "/>
    <s v="ING. FRANCISCO"/>
    <s v="ALTO"/>
    <d v="2026-03-30T00:00:00"/>
    <s v="SI"/>
    <s v="SDE-UC-00257-26"/>
    <s v="AEEH/DG/296/2026, DE FECHA 06/04/2026, ENVIADO AL ING. OCTAVIO GÓMEZ PAULIN._x000a_AEEH/DG/345/2026, DE FECHA 17/04/2026, ENVIADO AL ING. OCTAVIO GÓMEZ PAULIN."/>
    <s v="N/A"/>
    <s v="N/A"/>
    <x v="0"/>
    <s v="N/A"/>
    <s v="N/A"/>
    <s v="N/A"/>
    <s v="N/A"/>
    <s v="N/A"/>
    <s v="CIUDADANO (A)"/>
    <s v="ATENCIÓN AL PUEBLO"/>
    <x v="3"/>
    <x v="25"/>
    <s v="SAN JUAN TIZAHUAPAN "/>
    <x v="0"/>
    <n v="7711099070"/>
    <m/>
    <n v="1"/>
    <n v="50"/>
    <n v="200"/>
    <s v="CENTRO ORIENTE"/>
    <s v="ZONA PACHUCA"/>
  </r>
  <r>
    <n v="83"/>
    <s v="273"/>
    <x v="2"/>
    <d v="2026-03-30T00:00:00"/>
    <s v="SEDECO/CGI/TI/0370/2026_x000a_SDPEE/DGAP/1623/2026"/>
    <s v="AEEH-2*1S.1/01-2026_x000a_ASESORIAS EN MATERIA ENERGÉTICA (VARIOS MUNICIPIOS)"/>
    <s v="ATENDER A MAURICIO TELLEZ HERNÁNDEZ, QUIEN SOLICITA LA AMPLIACIÓN DE RED ELECTRICA PARA LAS CALLES CHABACANO Y PERA."/>
    <s v="ING. FRANCISCO"/>
    <s v="ALTO"/>
    <d v="2026-03-30T00:00:00"/>
    <s v="SI"/>
    <s v="SDE-UC-00259-26"/>
    <s v="AEEH/DG/444/2026, DE FECHA 15/05/2026, ENVIADO AL ING. OCTAVIO GÓMEZ PAULIN, COORDINADOR DE GESTIÓN INSTITUCIONAL "/>
    <s v="SI"/>
    <s v="AEEH/DG/309/2026, DE FECHA 10/04/2026, ENVIADO AL ING. VÍCTOR ISRAEL ALARCÓN HEREDIA, SUPERINTENDENTE DE LA CFE ZONA PACHUCA"/>
    <x v="2"/>
    <s v="CFE-DIS/DELEC-0121/2026, INFORMANDO EL ESTATUS DE LA SOLICITUD "/>
    <s v="N/A"/>
    <s v="N/A"/>
    <s v="N/A"/>
    <s v="N/A"/>
    <s v="CIUDADANO (A)"/>
    <s v="ATENCIÓN AL PUEBLO"/>
    <x v="2"/>
    <x v="25"/>
    <s v="SANTA MONICA "/>
    <x v="0"/>
    <n v="7711258313"/>
    <m/>
    <n v="1"/>
    <n v="21"/>
    <n v="84"/>
    <s v="CENTRO ORIENTE"/>
    <s v="ZONA PACHUCA"/>
  </r>
  <r>
    <n v="84"/>
    <s v="274"/>
    <x v="2"/>
    <d v="2026-03-30T00:00:00"/>
    <s v="SEDECO/CGI/TI/0375/2026_x000a_SDPEE/DGAP/1629/2026"/>
    <s v="AEEH-2*1S.1/01-2026_x000a_ASESORIAS EN MATERIA ENERGÉTICA (VARIOS MUNICIPIOS)"/>
    <s v="ATENDER A GERMAN PEREZ BAUTISTA, QUIEN SOLICITA LA INTERVENCIÓN ANTE CFE PARA LA OBRA DE AMPLICIACIÓN DE RED ELECTRICA."/>
    <s v="ING. FRANCISCO"/>
    <s v="ALTO"/>
    <d v="2026-03-30T00:00:00"/>
    <s v="SI"/>
    <s v="SDE-UC-00260-26"/>
    <s v="AEEH/DG/297/2026, DE FECHA 06/04/2026, ENVIADO AL ING. OCTAVIO GÓMEZ PAULIN._x000a_AEEH/DG/346/2026, DE FECHA 17/04/2026, ENVIADO AL ING. OCTAVIO GÓMEZ PAULIN."/>
    <s v="NO"/>
    <s v="N/A"/>
    <x v="0"/>
    <s v="N/A"/>
    <s v="N/A"/>
    <s v="N/A"/>
    <s v="N/A"/>
    <s v="N/A"/>
    <s v="CIUDADANO (A)"/>
    <s v="ATENCIÓN AL PUEBLO"/>
    <x v="2"/>
    <x v="4"/>
    <s v="SAN AGUSTIN ZAPOTLAN"/>
    <x v="0"/>
    <n v="7712469060"/>
    <m/>
    <n v="1"/>
    <n v="67"/>
    <n v="265"/>
    <s v="CENTRO ORIENTE"/>
    <s v="ZONA PACHUCA"/>
  </r>
  <r>
    <n v="85"/>
    <s v="280"/>
    <x v="2"/>
    <d v="2026-03-30T00:00:00"/>
    <s v="SEMARNATH/DESP/SSyCC/DGCC/0001881/2026"/>
    <s v="AEEH-2*1S.4/07-2026_x000a_PROGRAMA ESTATAL DE ACCIÓN ANTE EL CAMBIO CLIMATICO DE HIDALGO / COMISIÓN ESTATAL INTERSECTORIAL DEL CAMBIO CLIMATICO "/>
    <s v="INVITACIÓN A LA ENTREGA DE PROPUESTA DE LEY DE ECONOMIA CIRCULAR DEL ESTADO DE HIDALGO, EL 31 DE MARZO A LAS 11:00 EN LAS INSTALACIONES DE SEMARNATH "/>
    <s v="ARQ. ORLANDO"/>
    <s v="ALTO"/>
    <d v="2026-03-30T00:00:00"/>
    <s v="SI"/>
    <s v="N/A"/>
    <s v="ARQ. ORLANDO, ASISTE A AL REUNIÓN._x000a_SE ELABORA REPORTE DE ACTIVIDADES "/>
    <s v="N/A"/>
    <s v="N/A"/>
    <x v="0"/>
    <s v="N/A"/>
    <s v="N/A"/>
    <s v="N/A"/>
    <s v="N/A"/>
    <s v="N/A"/>
    <s v="DEPENDENCIA ESTATAL "/>
    <s v="OTRAS INSTANCIAS"/>
    <x v="0"/>
    <x v="0"/>
    <m/>
    <x v="2"/>
    <m/>
    <m/>
    <n v="1"/>
    <n v="1"/>
    <n v="0"/>
    <s v="N/A"/>
    <s v="N/A"/>
  </r>
  <r>
    <n v="86"/>
    <s v="297"/>
    <x v="3"/>
    <d v="2026-04-06T00:00:00"/>
    <s v="VAH-029-2026"/>
    <s v="AEEH-2*1S.1/01-2026_x000a_ASESORIAS EN MATERIA ENERGÉTICA (VARIOS MUNICIPIOS)"/>
    <s v="SUPERINTENDENCIA ZONA PACHUCA CFE, DA RESPUESTA LA OFICIO AEEH/DG/231/2026, INFORMANDO EL ADEUDO DEL C. HECTOR MANUEL MENESES PADILLA "/>
    <s v="ING. FRANCISCO"/>
    <s v="ALTO"/>
    <d v="2026-04-06T00:00:00"/>
    <s v="SI"/>
    <s v="SDE-UCC-07960-26"/>
    <s v="DE CONOCIMIENTO "/>
    <s v="N/A"/>
    <s v="N/A"/>
    <x v="0"/>
    <s v="N/A"/>
    <s v="N/A"/>
    <s v="N/A"/>
    <s v="N/A"/>
    <s v="N/A"/>
    <s v="DEPENDENCIA FEDERAL  "/>
    <s v="SEGUIMIENTO A SOLICITUDES"/>
    <x v="5"/>
    <x v="5"/>
    <m/>
    <x v="2"/>
    <m/>
    <m/>
    <n v="0"/>
    <n v="0"/>
    <n v="0"/>
    <s v="N/A"/>
    <s v="N/A"/>
  </r>
  <r>
    <n v="87"/>
    <s v="285"/>
    <x v="3"/>
    <d v="2026-04-07T00:00:00"/>
    <s v="SEDECO/CGI/TI/0402/2026_x000a_SDPEE/DGAP/1674/2026"/>
    <s v="AEEH-2*1S.1/01-2026_x000a_ASESORIAS EN MATERIA ENERGÉTICA (VARIOS MUNICIPIOS)"/>
    <s v="ATENDER A LA C. ANDREA GONZALEZ HERNÁNDEZ, QUIEN SOLICITA MANGUERA NEUTRAL O AISLAR PARA PONERLE A LAS LINEAS DEL POSTE DE LUZ QUE ATRAVIESA LA AZOTEA DE SU CASA."/>
    <s v="ING. FRANCISCO"/>
    <s v="ALTO"/>
    <d v="2026-04-07T00:00:00"/>
    <s v="SI"/>
    <s v="SDE-UC-00307-26"/>
    <s v="AEEH/DG/312/2026, DE FECHA 10/04/2026, ENVIADO AL ING. OCTAVIO GÓMEZ PAULIN COORDINADOR DE GESTIÓN INSTITUCIONAL _x000a_AEEH/DG/354/2026, DE FECHA 21/04/2026, ENVIADO AL ING. OCTAVIO GÓMEZ PAULIN COORDINADOR DE GESTIÓN INSTITUCIONAL _x000a_"/>
    <s v="NO"/>
    <s v="N/A"/>
    <x v="0"/>
    <s v="N/A"/>
    <s v="N/A"/>
    <s v="N/A"/>
    <s v="N/A"/>
    <s v="N/A"/>
    <s v="CIUDADANO (A)"/>
    <s v="ATENCIÓN AL PUEBLO"/>
    <x v="8"/>
    <x v="26"/>
    <s v="TECHIMAL "/>
    <x v="1"/>
    <n v="8110657579"/>
    <s v="andreagonzalez46960@gmail.com"/>
    <n v="1"/>
    <n v="1"/>
    <n v="4"/>
    <s v="GOLFO CENTRO"/>
    <s v="ZONA HUEJUTLA "/>
  </r>
  <r>
    <n v="88"/>
    <s v="286"/>
    <x v="3"/>
    <d v="2026-04-07T00:00:00"/>
    <s v="SEDECO/CGI/TI/0403/2026_x000a_SDPEE/DGAP/1773/2026"/>
    <s v="AEEH-2*1S.1/01-2026_x000a_ASESORIAS EN MATERIA ENERGÉTICA (VARIOS MUNICIPIOS)"/>
    <s v="ATENDER A LA C. ÁNGELA GARCÍA ORTÍZ, QUIEN SOLICITA APOYO PARA LA ILUMINACIÓN DEL BOULEVARD UBICADO EN LA ENTRADA DE SU MUNICIPIO "/>
    <s v="ING. FRANCISCO"/>
    <s v="ALTO"/>
    <d v="2026-04-07T00:00:00"/>
    <s v="SI"/>
    <s v="SDE-UC-00310-26"/>
    <s v="AEEH/DG/315/2026, DE FECHA 10/04/2026, ENVIADO AL ING. OCTAVIO GÓMEZ PAULIN COORDINADOR DE GESTIÓN INSTITUCIONAL _x000a_AEEH/DG/366/2026, DE FECHA 21/04/2026, ENVIADO AL ING. OCTAVIO GÓMEZ PAULIN COORDINADOR DE GESTIÓN INSTITUCIONAL "/>
    <s v="NO"/>
    <s v="N/A"/>
    <x v="0"/>
    <s v="N/A"/>
    <s v="N/A"/>
    <s v="N/A"/>
    <s v="N/A"/>
    <s v="N/A"/>
    <s v="CIUDADANO (A)"/>
    <s v="ATENCIÓN AL PUEBLO"/>
    <x v="3"/>
    <x v="27"/>
    <s v="COL. LA PRESA"/>
    <x v="1"/>
    <n v="5534881345"/>
    <m/>
    <n v="1"/>
    <n v="270"/>
    <n v="1080"/>
    <s v="DIVISION BAJIO"/>
    <s v="ZONA IXMIQUILPAN"/>
  </r>
  <r>
    <n v="89"/>
    <s v="287"/>
    <x v="3"/>
    <d v="2026-04-07T00:00:00"/>
    <s v="SEDECO/CGI/TI/0404/2026_x000a_SDPEE/DGAP/1808/2026"/>
    <s v="AEEH-2*1S.1/01-2026_x000a_ASESORIAS EN MATERIA ENERGÉTICA (VARIOS MUNICIPIOS)"/>
    <s v="ATENDER A LA DELEGADA DALILA MARIO LOPEZ, QUIEN SOLICITA LA AMPLIACIÓN DE RED ELECTRICA Y LA REUBICACIÓN DE POSTES"/>
    <s v="ING. FRANCISCO"/>
    <s v="ALTO"/>
    <d v="2026-04-07T00:00:00"/>
    <s v="SI"/>
    <s v="SDE-UC-00315-26"/>
    <s v="AEEH/DG/318/2026, DE FECHA 10/04/2026, ENVIADO AL ING. OCTAVIO GÓMEZ PAULIN COORDINADOR DE GESTIÓN INSTITUCIONAL "/>
    <s v="NO"/>
    <s v="N/A"/>
    <x v="0"/>
    <s v="N/A"/>
    <s v="N/A"/>
    <s v="N/A"/>
    <s v="N/A"/>
    <s v="N/A"/>
    <s v="DELEGADO (A) MUNICIPAL "/>
    <s v="ATENCIÓN AL PUEBLO"/>
    <x v="2"/>
    <x v="28"/>
    <s v="ZOZEA"/>
    <x v="1"/>
    <n v="7721124999"/>
    <m/>
    <n v="1"/>
    <n v="20"/>
    <n v="80"/>
    <s v="DIVISION BAJIO"/>
    <s v="ZONA IXMIQUILPAN"/>
  </r>
  <r>
    <n v="90"/>
    <s v="288"/>
    <x v="3"/>
    <d v="2026-04-07T00:00:00"/>
    <s v="SEDECO/CGI/TI/0405/2026_x000a_SDPEE/DGAP/1818/2026"/>
    <s v="AEEH-2*1S.1/01-2026_x000a_ASESORIAS EN MATERIA ENERGÉTICA (VARIOS MUNICIPIOS)"/>
    <s v="ATENDER A OMAR RAMIREZ SAN JUAN, QUIEN SOLICITA ELECTRIFICACIÓN EN CAMINO RURAL DE SU LOCALIDAD "/>
    <s v="ING. FRANCISCO"/>
    <s v="ALTO"/>
    <d v="2026-04-07T00:00:00"/>
    <s v="SI"/>
    <s v="SDE-UC-00317-26"/>
    <s v="AEEH/DG/314/2026, DE FECHA 10/04/2026, ENVIADO AL ING. OCTAVIO GÓMEZ PAULIN COORDINADOR DE GESTIÓN INSTITUCIONAL _x000a_AEEH/DG/353/2026, DE FECHA 21/04/2026, ENVIADO AL ING. OCTAVIO GÓMEZ PAULIN COORDINADOR DE GESTIÓN INSTITUCIONAL "/>
    <s v="NO"/>
    <s v="N/A"/>
    <x v="0"/>
    <s v="N/A"/>
    <s v="N/A"/>
    <s v="N/A"/>
    <s v="N/A"/>
    <s v="N/A"/>
    <s v="CIUDADANO (A)"/>
    <s v="ATENCIÓN AL PUEBLO"/>
    <x v="2"/>
    <x v="3"/>
    <s v="CANDHO"/>
    <x v="0"/>
    <n v="7721165773"/>
    <m/>
    <n v="1"/>
    <n v="5"/>
    <n v="20"/>
    <s v="DIVISION BAJIO"/>
    <s v="ZONA IXMIQUILPAN"/>
  </r>
  <r>
    <n v="91"/>
    <s v="289"/>
    <x v="3"/>
    <d v="2026-04-07T00:00:00"/>
    <s v="SEDECO/CGI/TI/0406/2026_x000a_SDPEE/DGAP/1823/2026"/>
    <s v="AEEH-2*1S.1/01-2026_x000a_ASESORIAS EN MATERIA ENERGÉTICA (VARIOS MUNICIPIOS)"/>
    <s v="ATENDER AL DELEGADO VICENTE CALLEJAS ZAMUDIO, QUIEN SOLICITA EL MEJORAMIENTO DE LA RED DE ENERGIA YA QUE EL VOLTAJE NO ES SUFICIENTE."/>
    <s v="ING. FRANCISCO"/>
    <s v="ALTO"/>
    <d v="2026-04-07T00:00:00"/>
    <s v="SI"/>
    <s v="SDE-UC-00318-26"/>
    <s v="AEEH/DG/313/2026, DE FECHA 10/04/2026, ENVIADO AL ING. OCTAVIO GÓMEZ PAULIN COORDINADOR DE GESTIÓN INSTITUCIONAL._x000a_"/>
    <s v="SI"/>
    <s v="AEEH/DG/385/2026, DE FECHA 28/04/2026, ENVIADO AL ING. ALEJANDRO YUSULMAN HERNÁNDEZ LEAL, SUPERINTENDENTE DE CFE DISTRIBUCIÓN ZONA IXMIQUILPAN."/>
    <x v="1"/>
    <s v="N/A"/>
    <s v="N/A"/>
    <s v="N/A"/>
    <s v="N/A"/>
    <s v="N/A"/>
    <s v="DELEGADO (A) MUNICIPAL "/>
    <s v="ATENCIÓN AL PUEBLO"/>
    <x v="1"/>
    <x v="28"/>
    <s v="XOTHE"/>
    <x v="0"/>
    <n v="77121367168"/>
    <m/>
    <n v="1"/>
    <n v="50"/>
    <n v="200"/>
    <s v="DIVISION BAJIO"/>
    <s v="ZONA IXMIQUILPAN"/>
  </r>
  <r>
    <n v="92"/>
    <s v="290"/>
    <x v="3"/>
    <d v="2026-04-07T00:00:00"/>
    <s v="SEDECO/CGI/TI/0407/2026_x000a_SDPEE/DGAP/1806/2026"/>
    <s v="AEEH-2*1S.1/01-2026_x000a_ASESORIAS EN MATERIA ENERGÉTICA (VARIOS MUNICIPIOS)"/>
    <s v="ATENDER A ARTURO OLGUIN NICOLAS, QUIEN SOLICITA 20 LAMPARAS PARA LA CALLE MORELOS."/>
    <s v="ING. FRANCISCO"/>
    <s v="ALTO"/>
    <d v="2026-04-07T00:00:00"/>
    <s v="SI"/>
    <s v="SDE-UC-00313-26"/>
    <s v="AEEH/DG/316/2026, DE FECHA 10/04/2026, ENVIADO AL ING. OCTAVIO GÓMEZ PAULIN COORDINADOR DE GESTIÓN INSTITUCIONAL._x000a__x000a_"/>
    <s v="NO"/>
    <s v="N/A"/>
    <x v="0"/>
    <s v="N/A"/>
    <s v="SI"/>
    <s v="AEEH/DG/390/2026, DE FECHA 28/04/2026, ENVIADO AL ING. JULIO AGUSTÍN CRUZ TOVAR, PRESIDENTE MUNICIPAL CONSTITUCIONAL DE ALFAJACUYAN."/>
    <s v="NO"/>
    <s v="N/A"/>
    <s v="CIUDADANO (A)"/>
    <s v="ATENCIÓN AL PUEBLO"/>
    <x v="7"/>
    <x v="28"/>
    <s v="ZOZEA"/>
    <x v="0"/>
    <n v="7712055444"/>
    <m/>
    <n v="1"/>
    <n v="25"/>
    <n v="100"/>
    <s v="DIVISION BAJIO"/>
    <s v="ZONA IXMIQUILPAN"/>
  </r>
  <r>
    <n v="93"/>
    <s v="291"/>
    <x v="3"/>
    <d v="2026-04-07T00:00:00"/>
    <s v="SEDECO/CGI/TI/0408/2026_x000a_SDPEE/DGAP/1816/2026"/>
    <s v="AEEH-2*1S.1/01-2026_x000a_ASESORIAS EN MATERIA ENERGÉTICA (VARIOS MUNICIPIOS)"/>
    <s v="ATENDER A LA DELEGADA GRICELDA MARTÍNEZ CHÁVEZ, QUIEN SOLICITA APOYO PARA CAMBIAR LA LINEA DE LUZ YA QUE LOS POSTES SE ENCUENTRAN EN MAL ESTADO "/>
    <s v="ING. FRANCISCO"/>
    <s v="ALTO"/>
    <d v="2026-04-07T00:00:00"/>
    <s v="SI"/>
    <s v="SDE-UC-00316-26"/>
    <s v=" AEEH/DG/311/2026, DE FECHA 10/04/2026, ENVIADO AL ING. OCTAVIO GÓMEZ PAULIN COORDINADOR DE GESTIÓN INSTITUCIONAL _x000a_"/>
    <s v="SI"/>
    <s v=" AEEH/DG/386/2026, DE FECHA 28/04/2026, ENVIADO AL ING. ALEJANDRO YUSULMAN HERNÁNDEZ LEAL, SUPERINTENDENTE DE CFE DISTRIBUCIÓN ZONA IXMIQUILPAN "/>
    <x v="1"/>
    <s v="N/A"/>
    <s v="N/A"/>
    <s v="N/A"/>
    <s v="N/A"/>
    <s v="N/A"/>
    <s v="DELEGADO (A) MUNICIPAL "/>
    <s v="ATENCIÓN AL PUEBLO"/>
    <x v="1"/>
    <x v="28"/>
    <s v="BOXTHÓ"/>
    <x v="1"/>
    <n v="7721374560"/>
    <m/>
    <n v="1"/>
    <n v="30"/>
    <n v="120"/>
    <s v="DIVISION BAJIO"/>
    <s v="ZONA IXMIQUILPAN"/>
  </r>
  <r>
    <n v="94"/>
    <s v="296"/>
    <x v="3"/>
    <d v="2026-04-07T00:00:00"/>
    <s v="SEDECO/CGI/TI/0419/2026_x000a_SDPEE/DGAP/1922/2026"/>
    <s v="AEEH-2*1S.1/01-2026_x000a_ASESORIAS EN MATERIA ENERGÉTICA (VARIOS MUNICIPIOS)"/>
    <s v="ATENDER A RENÉ GARCÍA MATÍAS, QUIEN SOLICITA ENERGIA ELECTRICA PARA SU COMUNIDAD "/>
    <s v="ING. FRANCISCO"/>
    <s v="ALTO"/>
    <d v="2026-04-07T00:00:00"/>
    <s v="SI"/>
    <s v=" SDE-UC-00360-26"/>
    <s v="AEEH/DG/317/2026, DE FECHA 10/04/2026, ENVIADO AL ING. OCTAVIO GÓMEZ PAULIN COORDINADOR DE GESTIÓN INSTITUCIONAL _x000a_ AEEH/DG/355/2026, DE FECHA 21/04/2026, ENVIADO AL ING. OCTAVIO GÓMEZ PAULIN COORDINADOR DE GESTIÓN INSTITUCIONAL "/>
    <s v="N/A"/>
    <s v="N/A"/>
    <x v="0"/>
    <s v="N/A"/>
    <s v="N/A"/>
    <s v="N/A"/>
    <s v="N/A"/>
    <s v="N/A"/>
    <s v="CIUDADANO (A)"/>
    <s v="ATENCIÓN AL PUEBLO"/>
    <x v="1"/>
    <x v="29"/>
    <s v="EL JOVIÓN"/>
    <x v="0"/>
    <n v="7298249350"/>
    <m/>
    <n v="1"/>
    <n v="1"/>
    <n v="4"/>
    <s v="GOLFO CENTRO"/>
    <s v="ZONA HUEJUTLA "/>
  </r>
  <r>
    <n v="95"/>
    <s v="303"/>
    <x v="3"/>
    <d v="2026-04-13T00:00:00"/>
    <s v="SEDECO/CGI/TI/0428/2026_x000a_SDPEE/DGAP/2052/2026"/>
    <s v="AEEH-2*1S.1/01-2026_x000a_ASESORIAS EN MATERIA ENERGÉTICA (VARIOS MUNICIPIOS)"/>
    <s v="ATENDER A BERNARDA LETICIA GALVÁN SÁNCHEZ, QUIEN SOLICITA LA HABILITACIÓN DE UN TRANSFOMADOR Y ALUMBRADO PÚBLICO EN SU LOCALIDAD "/>
    <s v="ING. FRANCISCO"/>
    <s v="ALTO"/>
    <d v="2026-04-13T00:00:00"/>
    <s v="SI"/>
    <s v="SDE-UC-00365-26"/>
    <s v="AEEH/DG/365/2026, DE FECHA 21/04/2026, ENVIADO AL ING. OCTAVIO GOMEZ PAULIN "/>
    <s v="N/A"/>
    <s v="N/A"/>
    <x v="0"/>
    <s v="N/A"/>
    <s v="N/A"/>
    <s v="N/A"/>
    <s v="N/A"/>
    <s v="N/A"/>
    <s v="DELEGADO (A) MUNICIPAL "/>
    <s v="ATENCIÓN AL PUEBLO"/>
    <x v="3"/>
    <x v="30"/>
    <s v="SAN ANTONIO"/>
    <x v="1"/>
    <n v="7721048497"/>
    <s v="ulises9santiagos@gmail.com"/>
    <n v="1"/>
    <n v="42"/>
    <n v="168"/>
    <s v="CENTRO ORIENTE"/>
    <s v="ZONA TULA"/>
  </r>
  <r>
    <n v="96"/>
    <s v="313"/>
    <x v="3"/>
    <d v="2026-04-13T00:00:00"/>
    <s v="SEDECO/CGI/TI/0444/2026_x000a_SDPEE/DGAP/2146/2026"/>
    <s v="AEEH-2*1S.1/01-2026_x000a_ASESORIAS EN MATERIA ENERGÉTICA (VARIOS MUNICIPIOS)"/>
    <s v="ATENDER A TANIA YADIRA RAMÍREZ FUENTES, QUIEN SOLICITA LA AMPLIACIÓN DE RED ELECTRICA Y 10 LAMPARAS DE ALUMBRADO PUBLICO "/>
    <s v="ING. FRANCISCO"/>
    <s v="ALTO"/>
    <d v="2026-04-13T00:00:00"/>
    <s v="SI"/>
    <s v="SDE-UC-00398-26"/>
    <s v="AEEH/DG/356/2026, DE FECHA 21/04/2026, ENVIADO AL ING. OCTAVIO GOMEZ PAULIN, COORDINADOR DE GESTIÓN INSTITUCIONAL  _x000a_"/>
    <s v="N/A"/>
    <s v="N/A"/>
    <x v="0"/>
    <s v="N/A"/>
    <s v="N/A"/>
    <s v="N/A"/>
    <s v="N/A"/>
    <s v="N/A"/>
    <s v="DELEGADO (A) MUNICIPAL "/>
    <s v="ATENCIÓN AL PUEBLO"/>
    <x v="2"/>
    <x v="31"/>
    <s v="ZAMORANO "/>
    <x v="1"/>
    <n v="5534414165"/>
    <m/>
    <n v="1"/>
    <n v="30"/>
    <n v="120"/>
    <s v="DIVISION BAJIO"/>
    <s v="ZONA IXMIQUILPAN"/>
  </r>
  <r>
    <n v="97"/>
    <s v="314"/>
    <x v="3"/>
    <d v="2026-04-13T00:00:00"/>
    <s v="SEDECO/CGI/TI/0445/2026_x000a_SDPEE/DGAP/2159/2026"/>
    <s v="AEEH-2*1S.1/01-2026_x000a_ASESORIAS EN MATERIA ENERGÉTICA (VARIOS MUNICIPIOS)"/>
    <s v="ATENDER A ELOÍSA GONZÁLEZ GONZÁLEZ, QUIEN SOLICITA 10 POSTES PARA AMPLIACION DE RED ELCECTRICA Y ALUMBRADO PUBLICO "/>
    <s v="ING. FRANCISCO"/>
    <s v="ALTO"/>
    <d v="2026-04-13T00:00:00"/>
    <s v="SI"/>
    <s v="SDE-UC-00399-26"/>
    <s v="AEEH/DG/357/2026, DE FECHA 21/04/2026, ENVIADO AL ING. OCTAVIO GÓMEZ PAULIN  _x000a_"/>
    <s v="SI"/>
    <s v="AEEH/DG/433/2026, DE FECHA 14/05/2026, ENVIADO AL ING. ALEJANDRO YUSULMAN HERNÁNDEZ LEAL, SUPERINTENDENTE DE LA CFE ZONA IXMIQUILPAN "/>
    <x v="1"/>
    <s v="N/A"/>
    <s v="N/A"/>
    <s v="N/A"/>
    <s v="N/A"/>
    <s v="N/A"/>
    <s v="DELEGADO (A) MUNICIPAL "/>
    <s v="ATENCIÓN AL PUEBLO"/>
    <x v="3"/>
    <x v="31"/>
    <m/>
    <x v="1"/>
    <n v="7731549928"/>
    <s v="elivago@live.com.mx"/>
    <n v="1"/>
    <n v="29"/>
    <n v="116"/>
    <s v="DIVISION BAJIO"/>
    <s v="ZONA IXMIQUILPAN"/>
  </r>
  <r>
    <n v="98"/>
    <s v="315"/>
    <x v="3"/>
    <d v="2026-04-13T00:00:00"/>
    <s v="SEDECO/CGI/TI/0449/2026_x000a_SDPEE/DGAP/2197/2026"/>
    <s v="AEEH-2*1S.1/01-2026_x000a_ASESORIAS EN MATERIA ENERGÉTICA (VARIOS MUNICIPIOS)"/>
    <s v="ATENDER A PEDRO GUERRERO GONZALEZ, QUIEN SOLICITA LA AMPLIACIÓN DE LA RED DE ENERGIA ELECTRICA Y COLOCACIÓN DE 2 TRANSFORMADORES EN SU LOCALIDAD "/>
    <s v="ING. FRANCISCO"/>
    <s v="ALTO"/>
    <d v="2026-04-13T00:00:00"/>
    <s v="SI"/>
    <s v="SDE-UC-00405-26"/>
    <s v="AEEH/DG/358/2026, DE FECHA 21/04/2026, ENVIADO AL ING. OCTAVIO GOMEZ PAULIN "/>
    <s v="NO"/>
    <s v="N/A"/>
    <x v="0"/>
    <s v="N/A"/>
    <s v="N/A"/>
    <s v="N/A"/>
    <s v="N/A"/>
    <s v="N/A"/>
    <s v="DELEGADO (A) MUNICIPAL "/>
    <s v="ATENCIÓN AL PUEBLO"/>
    <x v="1"/>
    <x v="31"/>
    <s v="JONACOPA"/>
    <x v="0"/>
    <n v="7731284313"/>
    <s v="pedroguerrerogonz30@gmail.com"/>
    <n v="1"/>
    <n v="30"/>
    <n v="120"/>
    <s v="DIVISION BAJIO"/>
    <s v="ZONA IXMIQUILPAN"/>
  </r>
  <r>
    <n v="99"/>
    <s v="316"/>
    <x v="3"/>
    <d v="2026-04-13T00:00:00"/>
    <s v="SEDECO/CGI/TI/0450/2026_x000a_SDPEE/DGAP/2191/2026"/>
    <s v="AEEH-2*1S.1/01-2026_x000a_ASESORIAS EN MATERIA ENERGÉTICA (VARIOS MUNICIPIOS)"/>
    <s v="ATENDER A PEDRO GUERRERO GONZALEZ, QUIEN SOLICITA LA AMPLIACIÓN DE LA RED DE ENERGIA ELECTRICA Y COLOCACIÓN DE 2 TRANSFORMADORES EN SU LOCALIDAD "/>
    <s v="ING. FRANCISCO"/>
    <s v="ALTO"/>
    <d v="2026-04-13T00:00:00"/>
    <s v="SI"/>
    <s v="SDE-UC-00404-26"/>
    <s v=" AEEH/DG/359/2026, DE FECHA 21/04/2026, ENVIADO AL ING. OCTAVIO GOMEZ PAULIN_x000a_"/>
    <s v="SI"/>
    <s v=" AEEH/DG/432/2026, DE FECHA 14/05/2026, ENVIADO AL ING. ALEJANDRO YUSULMAN HERNÁNDEZ LEAL, SUPERINTENDENTE DE LA CFE ZONA IXMIQUILPAN "/>
    <x v="1"/>
    <s v="N/A"/>
    <s v="N/A"/>
    <s v="N/A"/>
    <s v="N/A"/>
    <s v="N/A"/>
    <s v="DELEGADO (A) MUNICIPAL "/>
    <s v="ATENCIÓN AL PUEBLO"/>
    <x v="2"/>
    <x v="31"/>
    <s v="JONACOPA"/>
    <x v="0"/>
    <n v="7731284313"/>
    <s v="pedroguerrerogonz30@gmail.com"/>
    <n v="1"/>
    <n v="45"/>
    <n v="180"/>
    <s v="DIVISION BAJIO"/>
    <s v="ZONA IXMIQUILPAN"/>
  </r>
  <r>
    <n v="100"/>
    <s v="300"/>
    <x v="3"/>
    <d v="2026-04-13T00:00:00"/>
    <s v="SEDECO/CGI/TI/0425/2026_x000a_SDPEE/DGAP/1971/2026"/>
    <s v="AEEH-2*1S.1/01-2026_x000a_ASESORIAS EN MATERIA ENERGÉTICA (VARIOS MUNICIPIOS)"/>
    <s v="ATENDER A CAMILO PIÑA BENITEZ, QUIEN SOLICITA EL MEJORAMIENTO DE ALUMBRADO PUBLICO EN SU LOCALIDAD"/>
    <s v="ING. FRANCISCO"/>
    <s v="ALTO"/>
    <d v="2026-04-13T00:00:00"/>
    <s v="SI"/>
    <s v="SDE-UC-00361-206"/>
    <s v="AEEH/DG/360/2026, DE FECHA 21/04/206, ENVIADO AL ING. OCTAVIO GOMEZ PAULIN "/>
    <s v="N/A"/>
    <s v="N/A"/>
    <x v="0"/>
    <s v="N/A"/>
    <s v="N/A"/>
    <s v="N/A"/>
    <s v="N/A"/>
    <s v="N/A"/>
    <s v="DELEGADO (A) MUNICIPAL "/>
    <s v="ATENCIÓN AL PUEBLO"/>
    <x v="3"/>
    <x v="30"/>
    <s v="TLAUNILOLPAN"/>
    <x v="0"/>
    <n v="6144471640"/>
    <m/>
    <n v="1"/>
    <n v="2"/>
    <n v="8"/>
    <s v="CENTRO ORIENTE"/>
    <s v="ZONA TULA"/>
  </r>
  <r>
    <n v="101"/>
    <s v="301"/>
    <x v="3"/>
    <d v="2026-04-13T00:00:00"/>
    <s v="SEDECO/CGI/TI/0426/2026_x000a_SDPEE/DGAP/2022/2026"/>
    <s v="AEEH-2*1S.1/01-2026_x000a_ASESORIAS EN MATERIA ENERGÉTICA (VARIOS MUNICIPIOS)"/>
    <s v="ATENDER  CARLOS BENITEZ GUERRERO, QUIEN SOLICITA LA INSTALACIÓN DE ENERGÍA ELECTRICA EN SU DOMICILIO "/>
    <s v="ING. FRANCISCO"/>
    <s v="ALTO"/>
    <d v="2026-04-13T00:00:00"/>
    <s v="SI"/>
    <s v="SDE-UC-00358-26"/>
    <s v="AEEH/DG/396/2026, DE FECHA 29/04/2026, ENVIADO AL ING. OCTAVIO GÓMEZ PAULIN, COORDINADOR DE GESTIÓN INSTITUCIONAL _x000a_"/>
    <s v="SI"/>
    <s v="AEEH/DG/387/2026, DE FECHA 28/04/2026, ENVIADO AL ING. ABRAHAM MÉNDEZ SÁNCHEZ, SUPERINTENDENTE DE CFE DISTRIBUCIÓN ZONA TULA"/>
    <x v="1"/>
    <s v="N/A"/>
    <s v="N/A"/>
    <s v="N/A"/>
    <s v="N/A"/>
    <s v="N/A"/>
    <s v="DELEGADO (A) MUNICIPAL "/>
    <s v="ATENCIÓN AL PUEBLO"/>
    <x v="2"/>
    <x v="30"/>
    <s v="LA ESTANCIA "/>
    <x v="0"/>
    <n v="7716775707"/>
    <m/>
    <n v="1"/>
    <n v="3"/>
    <n v="12"/>
    <s v="CENTRO ORIENTE"/>
    <s v="ZONA TULA"/>
  </r>
  <r>
    <n v="102"/>
    <s v="302"/>
    <x v="3"/>
    <d v="2026-04-13T00:00:00"/>
    <s v="SEDECO/CGI/TI/0427/2026_x000a_SDPEE/DGAP/2019/2026"/>
    <s v="AEEH-2*1S.1/01-2026_x000a_ASESORIAS EN MATERIA ENERGÉTICA (VARIOS MUNICIPIOS)"/>
    <s v="ATENDER A SALVADOR VALENCIA GONZALEZ, QUIEN SOLICITA LA REUBICACIÓN DE UN POSTE DE LUZ"/>
    <s v="ING. FRANCISCO"/>
    <s v="ALTO"/>
    <d v="2026-04-13T00:00:00"/>
    <s v="SI"/>
    <s v="SDE-UC-00357-26"/>
    <s v="AEEH/DG/445/2026, DE FECHA 15/05/2026, ENVIADO AL ING. OCTAVIO GOMEZ PAULIN, COORDINADOR DE GESTIÓN INSTITUCIONAL _x000a_"/>
    <s v="SI"/>
    <s v="AEEH/DG/388/2026, DE FECHA 28/04/2026, ENVIADO AL ING. ABRAHAM MÉNDEZ SÁNCHEZ, SUPERINTENDENTE DE CFE DISTRIBUCIÓN ZONA TULA"/>
    <x v="1"/>
    <s v="N/A"/>
    <s v="N/A"/>
    <s v="N/A"/>
    <s v="N/A"/>
    <s v="N/A"/>
    <s v="DELEGADO (A) MUNICIPAL "/>
    <s v="ATENCIÓN AL PUEBLO"/>
    <x v="8"/>
    <x v="30"/>
    <s v="DEXTHA"/>
    <x v="0"/>
    <n v="4423459828"/>
    <m/>
    <n v="1"/>
    <n v="8"/>
    <n v="32"/>
    <s v="CENTRO ORIENTE"/>
    <s v="ZONA TULA"/>
  </r>
  <r>
    <n v="103"/>
    <s v="307"/>
    <x v="3"/>
    <d v="2026-04-13T00:00:00"/>
    <s v="SEDECO/CGI/TI/0436/2026_x000a_SDPEE/DGAP/2074/2026"/>
    <s v="AEEH-2*1S.1/01-2026_x000a_ASESORIAS EN MATERIA ENERGÉTICA (VARIOS MUNICIPIOS)"/>
    <s v="ATENDER  A ARMANDO ROMERO DIAZ, QUIEN SOLICITA 3 POSTES PARA LA AMPLIACIÓN DE RED ELECTRICA "/>
    <s v="ING. FRANCISCO"/>
    <s v="ALTO"/>
    <d v="2026-04-13T00:00:00"/>
    <s v="SI"/>
    <s v="SDE-UC-00370-26"/>
    <s v="AEEH/DG/362/2026, DE FECHA 21/04/2026, ENVIADO AL ING.OCTAVIO GOMEZ PAULIN "/>
    <s v="NO"/>
    <s v="N/A"/>
    <x v="0"/>
    <s v="N/A"/>
    <s v="N/A"/>
    <s v="N/A"/>
    <s v="N/A"/>
    <s v="N/A"/>
    <s v="DELEGADO (A) MUNICIPAL "/>
    <s v="ATENCIÓN AL PUEBLO"/>
    <x v="2"/>
    <x v="31"/>
    <s v="TLAXCALILLA"/>
    <x v="0"/>
    <n v="4272243984"/>
    <m/>
    <n v="1"/>
    <n v="20"/>
    <n v="80"/>
    <s v="DIVISION BAJIO"/>
    <s v="ZONA IXMIQUILPAN"/>
  </r>
  <r>
    <n v="104"/>
    <s v="308"/>
    <x v="3"/>
    <d v="2026-04-13T00:00:00"/>
    <s v="SEDECO/CGI/TI/0437/2026_x000a_SDPEE/DGAP/2078/2026"/>
    <s v="AEEH-2*1S.1/01-2026_x000a_ASESORIAS EN MATERIA ENERGÉTICA (VARIOS MUNICIPIOS)"/>
    <s v="ATENDER A RICARDO TREJO SALVADOR, QUIEN SOLICITA ALUMBRADO PÚBLICO EN SU LOCALIDAD"/>
    <s v="ING. FRANCISCO"/>
    <s v="ALTO"/>
    <d v="2026-04-13T00:00:00"/>
    <s v="SI"/>
    <s v="SDE-UC-00447-26"/>
    <s v="AEEH/DG/364/2026, DE FECHA 21/04/2026, ENVIADO AL ING OCTAVIO GOMEZ PAULIN "/>
    <s v="N/A"/>
    <s v="N/A"/>
    <x v="0"/>
    <s v="N/A"/>
    <s v="N/A"/>
    <s v="N/A"/>
    <s v="N/A"/>
    <s v="N/A"/>
    <s v="DELEGADO (A) MUNICIPAL "/>
    <s v="ATENCIÓN AL PUEBLO"/>
    <x v="3"/>
    <x v="31"/>
    <s v="LA ESTACION "/>
    <x v="0"/>
    <n v="7731470996"/>
    <m/>
    <n v="1"/>
    <n v="20"/>
    <n v="80"/>
    <s v="DIVISION BAJIO"/>
    <s v="ZONA IXMIQUILPAN"/>
  </r>
  <r>
    <n v="105"/>
    <s v="309"/>
    <x v="3"/>
    <d v="2026-04-13T00:00:00"/>
    <s v="SEDECO/CGI/TI/0438/2026_x000a_SDPEE/DGAP/2084/2026"/>
    <s v="AEEH-2*1S.1/01-2026_x000a_ASESORIAS EN MATERIA ENERGÉTICA (VARIOS MUNICIPIOS)"/>
    <s v="ATENDER A ARMANDO ROMERO DIAZ, QUIEN SOLICITA 10 LAMPARAS DE ALUBRADO PUBLICO EN SU LOCALIDAD "/>
    <s v="ING. FRANCISCO"/>
    <s v="ALTO"/>
    <d v="2026-04-13T00:00:00"/>
    <s v="SI"/>
    <s v="SDE-UC-00371-26"/>
    <s v="AEEH/DG/361/2026, DE FECHA 21/04/2026, ENVIADO AL ING. OCTAVIO GOMEZ PAULIN "/>
    <s v="N/A"/>
    <s v="N/A"/>
    <x v="0"/>
    <s v="N/A"/>
    <s v="N/A"/>
    <s v="N/A"/>
    <s v="N/A"/>
    <s v="N/A"/>
    <s v="DELEGADO (A) MUNICIPAL "/>
    <s v="ATENCIÓN AL PUEBLO"/>
    <x v="3"/>
    <x v="31"/>
    <s v="TLAXCALILLA"/>
    <x v="0"/>
    <n v="4272243984"/>
    <m/>
    <n v="1"/>
    <n v="20"/>
    <n v="80"/>
    <s v="DIVISION BAJIO"/>
    <s v="ZONA IXMIQUILPAN"/>
  </r>
  <r>
    <n v="106"/>
    <s v="310"/>
    <x v="3"/>
    <d v="2026-04-13T00:00:00"/>
    <s v="SEDECO/CGI/TI/0439/2026_x000a_SDPEE/DGAP/2115/2026"/>
    <s v="AEEH-2*1S.1/01-2026_x000a_ASESORIAS EN MATERIA ENERGÉTICA (VARIOS MUNICIPIOS)"/>
    <s v="ATENDER A JOSÉ JUAN GARCÉS ALAMILLA, QUIEN SOLICITA LA AMPLIACIÓN DE LA RED DE SUMINISTRO ELECTRICO"/>
    <s v="ING. FRANCISCO"/>
    <s v="ALTO"/>
    <d v="2026-04-13T00:00:00"/>
    <s v="SI"/>
    <s v="SDE-UC-00373-26"/>
    <s v="SE DA RESPUESTA CON OFICIO AEEH/DG/395/2026, DE FECHA 29/04/2026, ENVIADO AL ING. OCTAVIO GÓMEZ PAULIN, COORDINADOR DE GESTIÓN INSTITUCIONAL _x000a__x000a_"/>
    <s v="SI"/>
    <s v="AEEH/DG/389/2026, DE FECHA 28/04/2026, ENVIADO AL ING. ALEJANDRO YUSULMAN HERNÁNDEZ LEAL."/>
    <x v="1"/>
    <s v="N/A"/>
    <s v="N/A"/>
    <s v="N/A"/>
    <s v="N/A"/>
    <s v="N/A"/>
    <s v="CIUDADANO (A)"/>
    <s v="ATENCIÓN AL PUEBLO"/>
    <x v="2"/>
    <x v="31"/>
    <s v="LA CAMPANA "/>
    <x v="0"/>
    <n v="7737361884"/>
    <m/>
    <n v="1"/>
    <n v="18"/>
    <n v="72"/>
    <s v="DIVISION BAJIO"/>
    <s v="ZONA IXMIQUILPAN"/>
  </r>
  <r>
    <n v="107"/>
    <s v="311"/>
    <x v="3"/>
    <d v="2026-04-13T00:00:00"/>
    <s v="SEDECO/CGI/TI/0440/2026_x000a_SDPEE/DGAP/2124/2026"/>
    <s v="AEEH-2*1S.1/01-2026_x000a_ASESORIAS EN MATERIA ENERGÉTICA (VARIOS MUNICIPIOS)"/>
    <s v="ATENDER A HELIBERTO URIBE CHAVEZ, QUIEN SOLICITA LA INSTALACION DE POSTES Y CABLE EN SU LOCALIDAD "/>
    <s v="ING. FRANCISCO"/>
    <s v="ALTO"/>
    <d v="2026-04-13T00:00:00"/>
    <s v="SI"/>
    <s v="SDE-UC-00375-26"/>
    <s v="SE DA RESPUESTA CON OFICIO AEEH/DG/363/2026, DE FECHA 21/04/2026, ENVIADO AL ING. OCTAVIO GOMEZ PAULIN "/>
    <s v="N/A"/>
    <s v="N/A"/>
    <x v="0"/>
    <s v="N/A"/>
    <s v="N/A"/>
    <s v="N/A"/>
    <s v="N/A"/>
    <s v="N/A"/>
    <s v="DELEGADO (A) MUNICIPAL "/>
    <s v="ATENCIÓN AL PUEBLO"/>
    <x v="3"/>
    <x v="31"/>
    <s v="HUIXCAZAHÁ"/>
    <x v="0"/>
    <n v="7731380177"/>
    <m/>
    <n v="1"/>
    <n v="2"/>
    <n v="8"/>
    <s v="DIVISION BAJIO"/>
    <s v="ZONA IXMIQUILPAN"/>
  </r>
  <r>
    <n v="108"/>
    <s v="323"/>
    <x v="3"/>
    <d v="2026-04-13T00:00:00"/>
    <s v="CIRCULAR NO. 2"/>
    <s v="AEEH-2*1S/07-2026_x000a_DOCUMENTOS PARA CONOCIMIENTO "/>
    <s v="LA DIRECCIÓN GENERAL DE COMPRAS PÚBLICAS, INFORMAN LAS ESPECIFICACIONES PARA REALIZAR LAS COTIZACIONES A TRAVES DE SU PAGINA WEB"/>
    <s v="ARQ. ORLANDO"/>
    <s v="MEDIO"/>
    <d v="2026-04-13T00:00:00"/>
    <s v="SI"/>
    <s v="N/A"/>
    <s v="DE CONOCIMIENTO "/>
    <s v="N/A"/>
    <s v="N/A"/>
    <x v="0"/>
    <s v="N/A"/>
    <s v="N/A"/>
    <s v="N/A"/>
    <s v="N/A"/>
    <s v="N/A"/>
    <s v="DEPENDENCIA ESTATAL "/>
    <s v="OTRAS INSTANCIAS"/>
    <x v="0"/>
    <x v="0"/>
    <m/>
    <x v="1"/>
    <m/>
    <s v="compraspublicas@hidalgo.gob.mx"/>
    <n v="1"/>
    <n v="1"/>
    <n v="0"/>
    <s v="N/A"/>
    <s v="N/A"/>
  </r>
  <r>
    <n v="109"/>
    <s v="326"/>
    <x v="3"/>
    <d v="2026-04-17T00:00:00"/>
    <s v="SEDECO/CGI/TI/0458/2026_x000a_SDPEE/DGAP/2160/2026"/>
    <s v="AEEH-2*1S.1/01-2026_x000a_ASESORIAS EN MATERIA ENERGÉTICA (VARIOS MUNICIPIOS)"/>
    <s v="ATENDER A DAFNE LIZETH RAMOS LÓPEZ QUIEN SOLICITA APOYO PARA RETIRAR UN POSTE DE LUZ, CABLES DE ALTA TENSIÓN CERCA DE SU DOMICILIO "/>
    <s v="ING. FRANCISCO"/>
    <s v="ALTO"/>
    <d v="2026-04-17T00:00:00"/>
    <s v="SI"/>
    <s v="SDE-UC-00423-26"/>
    <s v="AEEH/DG/377/2026, DE FECHA 27/04/2026, ENVIADO AL ING. OCTAVIO GOMEZ PAULIN, COORDINADOR DE GESTIÓN INSTITUCIONAL "/>
    <s v="N/A"/>
    <s v="N/A"/>
    <x v="0"/>
    <s v="N/A"/>
    <s v="N/A"/>
    <s v="N/A"/>
    <s v="N/A"/>
    <s v="N/A"/>
    <s v="CIUDADANO (A)"/>
    <s v="ATENCIÓN AL PUEBLO"/>
    <x v="8"/>
    <x v="8"/>
    <s v="XOCHIPATLAN"/>
    <x v="1"/>
    <n v="7717033558"/>
    <m/>
    <n v="1"/>
    <n v="1"/>
    <n v="4"/>
    <s v="GOLFO CENTRO"/>
    <s v="ZONA HUEJUTLA "/>
  </r>
  <r>
    <n v="110"/>
    <s v="327"/>
    <x v="3"/>
    <d v="2026-04-17T00:00:00"/>
    <s v="SEDECO/CGI/TI/0467/2026_x000a_SDPEE/DGAP/2298/2026"/>
    <s v="AEEH-2*1S.1/01-2026_x000a_ASESORIAS EN MATERIA ENERGÉTICA (VARIOS MUNICIPIOS)"/>
    <s v="ATENDER A PATRICIO ADRIAN PACHECO TORRES, QUIEN SOLICITA LA MEDIACIÓN CON CFE PARA LA INSTALACIÓN DE ALUMBRADO PÚBLICO EN SU LOCALIDAD"/>
    <s v="ING. FRANCISCO"/>
    <s v="ALTO"/>
    <d v="2026-04-17T00:00:00"/>
    <s v="SI"/>
    <s v="SDE-UC-00422-26"/>
    <s v="AEEH/DG/378/2026, DE FECHA 27/04/2026, ENVIADO AL ING. OCTAVIO GOMEZ PAULIN, COORDINADOR DE GESTIÓN INSTITUCIONAL "/>
    <s v="N/A"/>
    <s v="N/A"/>
    <x v="0"/>
    <s v="N/A"/>
    <s v="N/A"/>
    <s v="N/A"/>
    <s v="N/A"/>
    <s v="N/A"/>
    <s v="CIUDADANO (A)"/>
    <s v="ATENCIÓN AL PUEBLO"/>
    <x v="3"/>
    <x v="31"/>
    <s v="CENTRO "/>
    <x v="0"/>
    <n v="7731063125"/>
    <m/>
    <n v="1"/>
    <n v="2"/>
    <n v="8"/>
    <s v="DIVISION BAJIO"/>
    <s v="ZONA IXMIQUILPAN"/>
  </r>
  <r>
    <n v="111"/>
    <s v="339"/>
    <x v="3"/>
    <d v="2026-04-22T00:00:00"/>
    <s v="SEDECO/CGI/TI/04991/2026"/>
    <s v="AEEH-2*1S.4/02-2026_x000a_EXPOS - CONGRESOS - INVITACIONES"/>
    <s v="INVITACIÓN AL FORO &quot;PACHUCA CLIMATE 2026 DIA DE LA TIERRA&quot;, EL DIA 22 DE ABRIL EN EL TEC DE PACHUCA POR PARTE DEL SECRETARIO DE MEDIO AMBIENTE Y DESARROLLO SUSTENTABLE "/>
    <s v="ARQ. ORLANDO"/>
    <s v="BAJO"/>
    <d v="2026-04-22T00:00:00"/>
    <s v="SI"/>
    <s v="SDE-UC-00464-26"/>
    <s v="AEEH-DG-375-2026, DE FECHA 24/04/2026, ENVIADO AL ING. OCTAVIO GÓMEZ PAULIN "/>
    <s v="N/A"/>
    <s v="N/A"/>
    <x v="0"/>
    <s v="N/A"/>
    <s v="N/A"/>
    <s v="N/A"/>
    <s v="N/A"/>
    <s v="N/A"/>
    <s v="DEPENDENCIA ESTATAL "/>
    <s v="OTRAS INSTANCIAS"/>
    <x v="0"/>
    <x v="0"/>
    <m/>
    <x v="2"/>
    <m/>
    <m/>
    <n v="0"/>
    <n v="0"/>
    <n v="0"/>
    <s v="N/A"/>
    <s v="N/A"/>
  </r>
  <r>
    <n v="112"/>
    <s v="335"/>
    <x v="3"/>
    <d v="2026-04-22T00:00:00"/>
    <s v="CFE-DIS/COR/DELEC-0121/2026"/>
    <s v="AEEH-2*1S.1/01-2026_x000a_ASESORIAS EN MATERIA ENERGÉTICA (VARIOS MUNICIPIOS)"/>
    <s v="RESPUESTA A OFICIO AEEH/DG/309/2026, EN DONDE CFE INFORMA EL ESTATUS A LA SOLICITUD DE AMPLIACIÓN ELÉCTRICA DEL C. MAURICIO TELLEZ HERNÁNDEZ._x000a_OFICIO ENTREGADO POR EL ING. ÁNGEL SOLÍS GARCÍA, JEFE DEL DEPARTAMENTO DE ELECTRIFICACIÓN RURAL, CFE ZONA PACHUCA "/>
    <s v="ING. FRANCISCO"/>
    <s v="ALTO"/>
    <d v="2026-04-22T00:00:00"/>
    <s v="SI"/>
    <s v="SDE-UC-00259-26"/>
    <s v="DE CONOCIMIENTO "/>
    <s v="N/A"/>
    <s v="N/A"/>
    <x v="0"/>
    <s v="N/A"/>
    <s v="N/A"/>
    <s v="N/A"/>
    <s v="N/A"/>
    <s v="N/A"/>
    <s v="DEPENDENCIA FEDERAL  "/>
    <s v="SEGUIMIENTO A SOLICITUDES"/>
    <x v="5"/>
    <x v="5"/>
    <m/>
    <x v="2"/>
    <m/>
    <m/>
    <n v="0"/>
    <n v="0"/>
    <n v="0"/>
    <s v="N/A"/>
    <s v="N/A"/>
  </r>
  <r>
    <n v="113"/>
    <s v="336"/>
    <x v="3"/>
    <d v="2026-04-22T00:00:00"/>
    <s v="117.DGISCPOS.1701/2026"/>
    <s v="AEEH-2*1S.3/04-2025_x000a_PROYECTOS ENERGÉTICOS - IBERDROLA"/>
    <s v="LA SENER, INVITA A PARTICIPAR EN LA SESIÓN DE INSTALACIÓN DEL COMITÉ TECNICO ASESOR PARA EL DESARROLLO DE LA CENTRAL FOTOVOLTAICA DENOMINADA &quot;FV TECOZAUTLA&quot;"/>
    <s v="ARQ. ORLANDO _x000a_ING. SANDRA"/>
    <s v="ALTO"/>
    <d v="2026-04-22T00:00:00"/>
    <s v="SI"/>
    <s v="N/A"/>
    <s v="ING. SANDRA Y ARQ. ORLANDO ASISTEN A LA SESIÓN, SE ELABORA REPORTE DE ACTIVIDADES "/>
    <s v="N/A"/>
    <s v="N/A"/>
    <x v="0"/>
    <s v="N/A"/>
    <s v="N/A"/>
    <s v="N/A"/>
    <s v="N/A"/>
    <s v="N/A"/>
    <s v="DEPENDENCIA FEDERAL  "/>
    <s v="OTRAS INSTANCIAS"/>
    <x v="0"/>
    <x v="5"/>
    <m/>
    <x v="2"/>
    <m/>
    <m/>
    <n v="0"/>
    <n v="0"/>
    <n v="0"/>
    <s v="N/A"/>
    <s v="N/A"/>
  </r>
  <r>
    <n v="114"/>
    <s v="337"/>
    <x v="3"/>
    <d v="2026-04-22T00:00:00"/>
    <s v="117.DGISCPOS.1752/2026"/>
    <s v="AEEH-2*1S.3/04-2025_x000a_PROYECTOS ENERGÉTICOS - IBERDROLA"/>
    <s v="LA SENER, INVITA A PARTICIPAR EN LA 1ER. SESIÓN DE LA FASE DE ACUERDOS PREVIOS DEL COMITÉ TÉCNICO ASESOR PARA EL DESARROLLO DE LA CENTRAL FOTOVOLTAICA DENOMINADA &quot;FV TECOZAUTLA&quot;"/>
    <s v="ARQ. ORLANDO _x000a_ING. SANDRA"/>
    <s v="ALTO"/>
    <d v="2026-04-22T00:00:00"/>
    <s v="SI"/>
    <s v="N/A"/>
    <s v="NO SE ASISTE A LA SESIÓN _x000a_(ARQ. ORLANDO, ARQ. DIEGO)"/>
    <s v="N/A"/>
    <s v="N/A"/>
    <x v="0"/>
    <s v="N/A"/>
    <s v="N/A"/>
    <s v="N/A"/>
    <s v="N/A"/>
    <s v="N/A"/>
    <s v="DEPENDENCIA FEDERAL  "/>
    <s v="OTRAS INSTANCIAS"/>
    <x v="0"/>
    <x v="5"/>
    <m/>
    <x v="2"/>
    <m/>
    <m/>
    <n v="0"/>
    <n v="0"/>
    <n v="0"/>
    <s v="N/A"/>
    <s v="N/A"/>
  </r>
  <r>
    <n v="115"/>
    <s v="338"/>
    <x v="3"/>
    <d v="2026-04-22T00:00:00"/>
    <s v="S/N"/>
    <s v="AEEH-2*1S.3/05-2025_x000a_PROYECTOS ENERGETICOS- DHAMMA ENERGY "/>
    <s v="RESPUESTA A OFICIO SEDECO/0240/2026, LA COMISIÓN ESTATAL DE DESARROLLO SOSTENIBLE PARA PUEBLOS INDIGENAS, SOLICITA PRECISIÓN TÉCNICA DE LOS 3 PROYECTOS A DESARROLLARSE DE LA EMPRESA DHAMMA"/>
    <s v="ARQ. DIEGO"/>
    <s v="ALTO"/>
    <d v="2026-04-22T00:00:00"/>
    <s v="SI"/>
    <s v="SDE-AEEH-00375-26"/>
    <s v="DE CONOCIMIENTO "/>
    <s v="N/A"/>
    <s v="N/A"/>
    <x v="0"/>
    <s v="N/A"/>
    <s v="N/A"/>
    <s v="N/A"/>
    <s v="N/A"/>
    <s v="N/A"/>
    <s v="DEPENDENCIA ESTATAL "/>
    <s v="OTRAS INSTANCIAS"/>
    <x v="0"/>
    <x v="5"/>
    <m/>
    <x v="2"/>
    <m/>
    <m/>
    <n v="1"/>
    <n v="1"/>
    <n v="0"/>
    <s v="N/A"/>
    <s v="N/A"/>
  </r>
  <r>
    <n v="116"/>
    <s v="352"/>
    <x v="3"/>
    <d v="2026-04-28T00:00:00"/>
    <s v="GLO-107-2026"/>
    <s v="AEEH-2*1S.1/01-2026_x000a_ASESORIAS EN MATERIA ENERGÉTICA (VARIOS MUNICIPIOS)"/>
    <s v="RESPUESTA A OFICIO AEEH/DG/306/2026, RESPECTO A LA REUBICACIÓN DE POSTES EN LA ESCUELA PRIMARIA VICENTE GUERRERO DE SAN FRANCISCO ATOTONILCO, ACAXOCHITLÁN "/>
    <s v="ING. FRANCISCO"/>
    <s v="ALTO"/>
    <d v="2026-04-28T00:00:00"/>
    <s v="SI"/>
    <s v="SDE-UC-00163-26"/>
    <s v="DE CONOCIMIENTO "/>
    <s v="N/A"/>
    <s v="N/A"/>
    <x v="0"/>
    <s v="N/A"/>
    <s v="N/A"/>
    <s v="N/A"/>
    <s v="N/A"/>
    <s v="N/A"/>
    <s v="DEPENDENCIA FEDERAL  "/>
    <s v="SEGUIMIENTO A SOLICITUDES"/>
    <x v="5"/>
    <x v="5"/>
    <m/>
    <x v="2"/>
    <m/>
    <m/>
    <n v="0"/>
    <n v="0"/>
    <n v="0"/>
    <s v="N/A"/>
    <s v="N/A"/>
  </r>
  <r>
    <n v="117"/>
    <s v="342"/>
    <x v="3"/>
    <d v="2026-04-29T00:00:00"/>
    <s v="GLO-099-2026"/>
    <s v="AEEH-2*1S.1/01-2026_x000a_ASESORIAS EN MATERIA ENERGÉTICA (VARIOS MUNICIPIOS)"/>
    <s v="RESPUESTA A OFICIO AEEH/DG/308/2026, RESPECTO AL ESTATUS DE ATENCIÓN A LA C. MA. FÉLIX GALICIA CHILINO "/>
    <s v="ING. FRANCISCO"/>
    <s v="ALTO"/>
    <d v="2026-04-29T00:00:00"/>
    <s v="SI"/>
    <s v="SDE-UC-00137-26"/>
    <s v="DE CONOCIMIENTO "/>
    <s v="N/A"/>
    <s v="N/A"/>
    <x v="0"/>
    <s v="N/A"/>
    <s v="N/A"/>
    <s v="N/A"/>
    <s v="N/A"/>
    <s v="N/A"/>
    <s v="DEPENDENCIA FEDERAL  "/>
    <s v="SEGUIMIENTO A SOLICITUDES"/>
    <x v="5"/>
    <x v="5"/>
    <m/>
    <x v="2"/>
    <m/>
    <m/>
    <n v="0"/>
    <n v="0"/>
    <n v="0"/>
    <s v="N/A"/>
    <s v="N/A"/>
  </r>
  <r>
    <n v="118"/>
    <s v="347"/>
    <x v="3"/>
    <d v="2026-04-29T00:00:00"/>
    <s v="ASEA/DAJ/DGCONS/205/2026"/>
    <s v="AEEH-2*1S.1/11-2025_x000a_ASESORIAS EN MATERIA DE HIDROCARBUROS "/>
    <s v="MTRA. BLANCA UGALDE RESENDIZ, DIRECTORA GENERAL DE LO CONSULTIVO, DE LA AGENCIA NACIONAL DE SEGUIRIDAD INDUSTRIAL Y MEDIO AMBIENTE DA RESPUETA A OFICIO AEEH/DG/225/2026"/>
    <s v="ARQ. DIEGO"/>
    <s v="ALTO"/>
    <d v="2026-04-29T00:00:00"/>
    <s v="SI"/>
    <s v="SDE-AEEH-00325-25"/>
    <s v="DE CONOCIMIENTO "/>
    <s v="N/A"/>
    <s v="N/A"/>
    <x v="0"/>
    <s v="N/A"/>
    <s v="N/A"/>
    <s v="N/A"/>
    <s v="N/A"/>
    <s v="N/A"/>
    <s v="DEPENDENCIA FEDERAL  "/>
    <s v="OTRAS INSTANCIAS"/>
    <x v="0"/>
    <x v="5"/>
    <m/>
    <x v="2"/>
    <m/>
    <m/>
    <n v="0"/>
    <n v="0"/>
    <n v="0"/>
    <s v="N/A"/>
    <s v="N/A"/>
  </r>
  <r>
    <n v="119"/>
    <s v="348"/>
    <x v="3"/>
    <d v="2026-04-29T00:00:00"/>
    <s v="TELECOM/CT/0189/2026"/>
    <s v="AEEH-2*1S.1/17-2025_x000a_ASESORIAS EN MATERIA DE TELECOMUNICACIONES (VARIOS MUNICIPIOS)"/>
    <s v="COORDINADORA DE TELECOM, DA RESPUESTA A OFICIO AEEH/DG/226/2026, EN DONDE PROPONE REALIZAR UNA REUNIÓN VIRTUAL PARA ABORDAR TEMAS DE LOS MUNICIPIOS DE FRANCISCO I. MADERO Y ALMOLOYA "/>
    <s v="ARQ. DIEGO"/>
    <s v="ALTO"/>
    <d v="2026-04-29T00:00:00"/>
    <s v="SI"/>
    <s v="N/A"/>
    <s v="DE CONOCIMIENTO "/>
    <s v="N/A"/>
    <s v="N/A"/>
    <x v="0"/>
    <s v="N/A"/>
    <s v="N/A"/>
    <s v="N/A"/>
    <s v="N/A"/>
    <s v="N/A"/>
    <s v="DEPENDENCIA FEDERAL  "/>
    <s v="OTRAS INSTANCIAS"/>
    <x v="0"/>
    <x v="5"/>
    <m/>
    <x v="2"/>
    <m/>
    <m/>
    <n v="0"/>
    <n v="0"/>
    <n v="0"/>
    <s v="N/A"/>
    <s v="N/A"/>
  </r>
  <r>
    <n v="120"/>
    <s v="349"/>
    <x v="3"/>
    <d v="2026-04-29T00:00:00"/>
    <s v="VAH-064-2026"/>
    <s v="2*1S.1/01 III-2024"/>
    <s v="SUPERINTENDENCIA DE CFE ZONA PACHUCA, DA RESPUESTA LA OFICIO AEEH/DG/712/2026, INFORMANDO SOBRE LA SOLICITUD DE LA LOCALIDAD DE VENTA DE GUADALUPE MUNICIPIO DE OMITLAN "/>
    <s v="ING. FRANCISCO"/>
    <s v="ALTO"/>
    <d v="2026-04-29T00:00:00"/>
    <s v="SI"/>
    <s v="N/A"/>
    <s v="DE CONOCIMIENTO "/>
    <s v="N/A"/>
    <s v="N/A"/>
    <x v="0"/>
    <s v="N/A"/>
    <s v="N/A"/>
    <s v="N/A"/>
    <s v="N/A"/>
    <s v="N/A"/>
    <s v="DEPENDENCIA FEDERAL  "/>
    <s v="SEGUIMIENTO A SOLICITUDES"/>
    <x v="5"/>
    <x v="5"/>
    <m/>
    <x v="2"/>
    <m/>
    <m/>
    <n v="0"/>
    <n v="0"/>
    <n v="0"/>
    <s v="N/A"/>
    <s v="N/A"/>
  </r>
  <r>
    <n v="121"/>
    <s v="350"/>
    <x v="3"/>
    <d v="2026-04-29T00:00:00"/>
    <s v="VAH-065-2026"/>
    <s v="2*1S.1/03-2024"/>
    <s v="SUPERINTENDENCIA DE CFE ZONA PACHUCA, DA RESPUESTA LA OFICIO AEEH/DG/323/2026, INFORMANDO SOBRE LA SOLICITUD DE LA LOCALIDAD DE SAN ANTONIO EL DESMONTE, MUNICIPIO DE PACHUCA DE SOTO"/>
    <s v="ING. FRANCISCO"/>
    <s v="ALTO"/>
    <d v="2026-04-29T00:00:00"/>
    <s v="SI"/>
    <s v="N/A"/>
    <s v="OFICIO RESOLUTIVO DE CFE A GESTIÓN 2024"/>
    <s v="N/A"/>
    <s v="N/A"/>
    <x v="0"/>
    <s v="N/A"/>
    <s v="N/A"/>
    <s v="N/A"/>
    <s v="N/A"/>
    <s v="N/A"/>
    <s v="DEPENDENCIA FEDERAL  "/>
    <s v="SEGUIMIENTO A SOLICITUDES"/>
    <x v="5"/>
    <x v="5"/>
    <m/>
    <x v="2"/>
    <m/>
    <m/>
    <n v="0"/>
    <n v="0"/>
    <n v="0"/>
    <s v="N/A"/>
    <s v="N/A"/>
  </r>
  <r>
    <n v="122"/>
    <s v="358"/>
    <x v="3"/>
    <d v="2026-04-29T00:00:00"/>
    <s v="SDZDDH/00116/2026"/>
    <s v="AEEH-2*1S.1/01-2026_x000a_ASESORIAS EN MATERIA ENERGÉTICA (VARIOS MUNICIPIOS)"/>
    <s v="SUPERINTENDENCIA DE CFE ZONA HUEJUTLA DA RESPUESTA LA OFICIO AEEH/DG/310/2026, INFORMANDO SOBRE LA OBRA DE ELECTRIFICACIÓN DE PEZMATLÁN, DEL MUNICIPIO DE CALNALI  "/>
    <s v="ING. FRANCISCO"/>
    <s v="ALTO"/>
    <d v="2026-04-29T00:00:00"/>
    <s v="SI"/>
    <s v="SDE-UC-00017-26_x000a__x000a_SDE-CGI-00253-26"/>
    <s v="DE CONOCIMIENTO "/>
    <s v="N/A"/>
    <s v="N/A"/>
    <x v="0"/>
    <s v="N/A"/>
    <s v="N/A"/>
    <s v="N/A"/>
    <s v="N/A"/>
    <s v="N/A"/>
    <s v="DEPENDENCIA FEDERAL  "/>
    <s v="SEGUIMIENTO A SOLICITUDES"/>
    <x v="5"/>
    <x v="5"/>
    <m/>
    <x v="2"/>
    <m/>
    <m/>
    <n v="0"/>
    <n v="0"/>
    <n v="0"/>
    <s v="N/A"/>
    <s v="N/A"/>
  </r>
  <r>
    <n v="123"/>
    <s v="372"/>
    <x v="4"/>
    <d v="2026-05-04T00:00:00"/>
    <s v="SEDECO/CGI/TI/0524/2026_x000a_SDPEE/DGAP/2587/2026"/>
    <s v="AEEH-2*1S.1/01-2026_x000a_ASESORIAS EN MATERIA ENERGÉTICA (VARIOS MUNICIPIOS)"/>
    <s v="ATENDER AL C. CIRO BALLESTEROS GARCÍA, QUIEN SOLICITA LA REHABILITACIÓN DE LA RED ELECTRICA EN SU COMUNIDAD "/>
    <s v="ING. FRANCISCO"/>
    <s v="ALTO"/>
    <d v="2026-05-04T00:00:00"/>
    <s v="SI"/>
    <s v="SDE-UC-00512-26"/>
    <s v="AEEH/DG/439/2026, DE FECHA 15/05/2026, ENVIADO AL ING. OCTAVIO GÓMEZ PAULIN, COORDINADOR DE GESTIÓN INSTITUCIONAL  "/>
    <s v="N/A"/>
    <s v="N/A"/>
    <x v="0"/>
    <s v="N/A"/>
    <s v="N/A"/>
    <s v="N/A"/>
    <s v="N/A"/>
    <s v="N/A"/>
    <s v="DEPENDENCIA ESTATAL "/>
    <s v="ATENCIÓN AL PUEBLO"/>
    <x v="1"/>
    <x v="32"/>
    <s v="SAN JUAN ACHICHILCO"/>
    <x v="0"/>
    <s v="773 115 0777"/>
    <m/>
    <n v="1"/>
    <n v="500"/>
    <n v="2000"/>
    <s v="CENTRO ORIENTE"/>
    <s v="ZONA TULA"/>
  </r>
  <r>
    <n v="124"/>
    <s v="357"/>
    <x v="4"/>
    <d v="2026-05-05T00:00:00"/>
    <s v="STFOTEASE.213.115.2026"/>
    <s v="AEEH-2*1S.5/03-2026_x000a_FOTEASE SFV BOMBEOS "/>
    <s v="RESPUESTA A OFICIO AEEH/DG/321/2026, LA SECRETARIA TÉCNICA DEL FOTEASE, INVITA A UNA REUNIÓN VIRTUAL PARA ABORDAR TEMAS DE EXPEDIENTES TÉCNICOS DE LOS SITEMAS FOTOVOLTAICOS "/>
    <s v="ARQ. ORLANDO_x000a_ARQ. DIEGO"/>
    <s v="ALTO"/>
    <d v="2026-05-05T00:00:00"/>
    <s v="SI"/>
    <s v="N/A"/>
    <s v="DE CONOCIMIENTO "/>
    <s v="N/A"/>
    <s v="N/A"/>
    <x v="0"/>
    <s v="N/A"/>
    <s v="N/A"/>
    <s v="N/A"/>
    <s v="N/A"/>
    <s v="N/A"/>
    <s v="DEPENDENCIA FEDERAL  "/>
    <s v="OTRAS INSTANCIAS"/>
    <x v="0"/>
    <x v="5"/>
    <m/>
    <x v="2"/>
    <m/>
    <m/>
    <n v="0"/>
    <n v="0"/>
    <n v="0"/>
    <s v="N/A"/>
    <s v="N/A"/>
  </r>
  <r>
    <n v="125"/>
    <s v="370"/>
    <x v="4"/>
    <d v="2026-05-05T00:00:00"/>
    <s v="SEDECO/CGI/TI/0522/2026_x000a_SDPEE/DGAP/2544/2026"/>
    <s v="AEEH-2*1S.1/01-2026_x000a_ASESORIAS EN MATERIA ENERGÉTICA (VARIOS MUNICIPIOS)"/>
    <s v="ATENDER A HERÓN MARTÍNEZ CABRERA, QUIEN SOLICITA UN INCREMENTO DE VOLTAJE EN LA TELESECUNDARIA NO. 100 DE SU LOCALIDAD "/>
    <s v="ING. FRANCISCO"/>
    <s v="ALTO"/>
    <d v="2026-05-05T00:00:00"/>
    <s v="SI"/>
    <s v="SDE-UC-00497-26"/>
    <s v="AEEH/DG/442/2026, DE FECHA 15/05/2026, ENVIADO AL ING. OCTAVIO GÓMEZ PAULIN, COORDINADOR DE GESTIÓN INSTITUCIONAL ._x000a_EL 08 DE MAYO, SE REALIZÓ UNA REUNIÓN EN LAS OFICINAS DE LA AEEH CON REPRESENTANTES DE LA ESCUELA._x000a_ELM 13 DE MAYO, SE REALIZÓ UNA REUNIÓN VIRTUAL CON INTEGRANTES DEL IHE"/>
    <s v="N/A"/>
    <s v="N/A"/>
    <x v="0"/>
    <s v="N/A"/>
    <s v="N/A"/>
    <s v="N/A"/>
    <s v="N/A"/>
    <s v="N/A"/>
    <s v="DEPENDENCIA ESTATAL "/>
    <s v="ATENCIÓN AL PUEBLO"/>
    <x v="1"/>
    <x v="33"/>
    <s v="ACUIMANTLA "/>
    <x v="0"/>
    <s v="771 365 2343"/>
    <m/>
    <n v="1"/>
    <n v="40"/>
    <n v="160"/>
    <s v="GOLFO CENTRO"/>
    <s v="ZONA HUEJUTLA "/>
  </r>
  <r>
    <n v="126"/>
    <s v="371"/>
    <x v="4"/>
    <d v="2026-05-05T00:00:00"/>
    <s v="SEDECO/CGI/TI/0523/2026_x000a_SDPEE/DGAP/2560/2026"/>
    <s v="AEEH-2*1S.1/01-2026_x000a_ASESORIAS EN MATERIA ENERGÉTICA (VARIOS MUNICIPIOS)"/>
    <s v="ATENDER A JUVENAL VARGAS MARTÍN, QUIEN SOLICITA LA COLOCACIÓN DE LUMINARIAS PARA LOS CAMINOS PÚLICOS DE SU COMUNIDAD "/>
    <s v="ING. FRANCISCO"/>
    <s v="ALTO"/>
    <d v="2026-05-05T00:00:00"/>
    <s v="SI"/>
    <s v="SDE-UC-00504-26"/>
    <s v="AEEH/DG/440/2026, DE FECHA 15/05/2026, ENVIADO AL ING. OCTAVIO GÓMEZ PAULIN, COORDINADOR DE GESTIÓN INSTITUCIONAL  "/>
    <s v="N/A"/>
    <s v="N/A"/>
    <x v="0"/>
    <s v="N/A"/>
    <s v="N/A"/>
    <s v="N/A"/>
    <s v="N/A"/>
    <s v="N/A"/>
    <s v="DEPENDENCIA ESTATAL "/>
    <s v="ATENCIÓN AL PUEBLO"/>
    <x v="3"/>
    <x v="34"/>
    <s v="PRADERAS DEL POTRERO"/>
    <x v="0"/>
    <s v="55 91 63 16 00"/>
    <m/>
    <n v="1"/>
    <n v="20"/>
    <n v="80"/>
    <s v="CENTRO ORIENTE"/>
    <s v="ZONA TULA"/>
  </r>
  <r>
    <n v="127"/>
    <s v="373"/>
    <x v="4"/>
    <d v="2026-05-05T00:00:00"/>
    <s v="SEDECO/CGI/TI/0529/2026_x000a_SDPEE/DGAP/2672/2026"/>
    <s v="AEEH-2*1S.1/01-2026_x000a_ASESORIAS EN MATERIA ENERGÉTICA (VARIOS MUNICIPIOS)"/>
    <s v="ATENDER AL C. MACLOVIO LOZADA GONZALEZ, QUIEN SOLICITA LA INSTALACIÓN DE ENERGÍA ELECTRICA EN SU LOCALIDAD "/>
    <s v="ING. FRANCISCO"/>
    <s v="ALTO"/>
    <d v="2026-05-05T00:00:00"/>
    <s v="SI"/>
    <s v="SDE-UC-00557-26"/>
    <s v="AEEH/DG/438/2026, DE FECHA 15/05/2026, ENVIADO AL ING. OCTAVIO GÓMEZ PAULIN, COORDINADOR DE GESTIÓN INSTITUCIONAL  "/>
    <s v="N/A"/>
    <s v="N/A"/>
    <x v="0"/>
    <s v="N/A"/>
    <s v="N/A"/>
    <s v="N/A"/>
    <s v="N/A"/>
    <s v="N/A"/>
    <s v="DEPENDENCIA ESTATAL "/>
    <s v="ATENCIÓN AL PUEBLO"/>
    <x v="2"/>
    <x v="24"/>
    <s v="COL. LAS AMERICAS "/>
    <x v="0"/>
    <s v="775 149 5962"/>
    <m/>
    <n v="1"/>
    <n v="40"/>
    <n v="160"/>
    <s v="CENTRO ORIENTE"/>
    <s v="ZONA TULANCINGO"/>
  </r>
  <r>
    <n v="128"/>
    <s v="374"/>
    <x v="4"/>
    <d v="2026-05-05T00:00:00"/>
    <s v="SEDECO/CGI/TI/0530/2026_x000a_SDPEE/DGAP/2688/2026"/>
    <s v="AEEH-2*1S/10-2026_x000a_SOLICITUD DE INFORMACIÓN CIUDADANA - PARQUES SOLARES FOTOVOLTAICOS"/>
    <s v="ATENDER A BRISA FERNANDA ARANGUTIA FLORES, QUIEN SOLICITA INFORMACIÓN RESPECTO AL PROYECTO DEL PARQUE FOTOVOLTAICO EN TERRENOS EJIDALES DE EPAZOYUCAN Y SINGUILUCAN "/>
    <s v="ARQ. ORLANDO_x000a_ARQ. DIEGO"/>
    <s v="ALTO"/>
    <d v="2026-05-05T00:00:00"/>
    <s v="EN PROCESO"/>
    <s v="SDE-UC-00558-26"/>
    <m/>
    <s v="N/A"/>
    <s v="N/A"/>
    <x v="0"/>
    <s v="N/A"/>
    <s v="N/A"/>
    <s v="N/A"/>
    <s v="N/A"/>
    <s v="N/A"/>
    <s v="DEPENDENCIA ESTATAL "/>
    <s v="ATENCIÓN AL PUEBLO"/>
    <x v="0"/>
    <x v="35"/>
    <m/>
    <x v="1"/>
    <n v="7713524273"/>
    <m/>
    <n v="1"/>
    <n v="0"/>
    <m/>
    <s v="CENTRO ORIENTE"/>
    <s v="ZONA TULANCINGO"/>
  </r>
  <r>
    <n v="129"/>
    <s v="375"/>
    <x v="4"/>
    <d v="2026-05-05T00:00:00"/>
    <s v="SEDECO/CGI/TI/0531/2026_x000a_SDPEE/DGAP/2705/2026"/>
    <s v="AEEH-2*1S.1/01-2026_x000a_ASESORIAS EN MATERIA ENERGÉTICA (VARIOS MUNICIPIOS)"/>
    <s v="ATENDER A DAVID HERNÁNDEZ HERNÁNDEZ, PARA LA MEDIACIÓN CON CFE PARA LA CORRECIÓN DE DIRECCIONES DE LOS USUARIOS DE SU COMUNIDAD "/>
    <s v="ING. FRANCISCO"/>
    <s v="ALTO"/>
    <d v="2026-05-05T00:00:00"/>
    <s v="SI"/>
    <s v="SDE-UC-00567-26"/>
    <s v="AEEH/DG/441/2026, DE FECHA 15/05/2026, ENVIADO AL ING. OCTAVIO GÓMEZ PAULIN, COORDINADOR DE GESTIÓN INSTITUCIONAL  "/>
    <s v="N/A"/>
    <s v="N/A"/>
    <x v="0"/>
    <s v="N/A"/>
    <s v="N/A"/>
    <s v="N/A"/>
    <s v="N/A"/>
    <s v="N/A"/>
    <s v="DEPENDENCIA ESTATAL "/>
    <s v="ATENCIÓN AL PUEBLO"/>
    <x v="0"/>
    <x v="36"/>
    <s v="LA PEÑA "/>
    <x v="0"/>
    <s v="772 123 9134"/>
    <m/>
    <n v="1"/>
    <n v="1"/>
    <n v="2"/>
    <s v="CENTRO ORIENTE"/>
    <s v="ZONA PACHUCA"/>
  </r>
  <r>
    <n v="130"/>
    <s v="379"/>
    <x v="4"/>
    <d v="2026-05-05T00:00:00"/>
    <s v="SEDECO/CGI/TI/0545/2026_x000a_SDPEE/DGAP/2753/2026"/>
    <s v="AEEH-2*1S.1/01-2026_x000a_ASESORIAS EN MATERIA ENERGÉTICA (VARIOS MUNICIPIOS)"/>
    <s v="ATENDER A LA C. MARIA DOLORES ÁNGELES SALAS, QUIEN SOLICITA LA REUBICACIÓN DE UN POSTE DE LUZ"/>
    <s v="ING. FRANCISCO"/>
    <s v="ALTO"/>
    <d v="2026-05-05T00:00:00"/>
    <s v="SI"/>
    <s v="SDE-UC-00587-26"/>
    <s v="AEEH/DG/443/2026, DE FECHA 15/05/2026, ENVIADO AL ING. OCTAVIO GÓMEZ PAULIN, COORDINADOR DE GESTIÓN INSTITUCIONAL  "/>
    <s v="NO"/>
    <s v="N/A"/>
    <x v="0"/>
    <s v="N/A"/>
    <s v="N/A"/>
    <s v="N/A"/>
    <s v="N/A"/>
    <s v="N/A"/>
    <s v="DEPENDENCIA ESTATAL "/>
    <s v="ATENCIÓN AL PUEBLO"/>
    <x v="8"/>
    <x v="0"/>
    <s v="SAN ANTONIO EL DESMONTE"/>
    <x v="1"/>
    <s v="771 382 0155"/>
    <m/>
    <n v="1"/>
    <n v="1"/>
    <n v="4"/>
    <s v="CENTRO ORIENTE"/>
    <s v="ZONA PACHUCA"/>
  </r>
  <r>
    <n v="131"/>
    <s v="380"/>
    <x v="4"/>
    <d v="2026-05-05T00:00:00"/>
    <s v="DGESE/212/018/2026"/>
    <s v="ARQ. ORLANDO "/>
    <s v="LA DIRECCIÓN GENERAL DE EFICIENCIA Y SUSTENTABILIDAD ENERGÉTICA DE LA SENER, ENVIA INVITACIÓN A UNA REUNIÓN DE COORDINACIÓN PARA CONOCER LAS ACTIVIADES DE LA AEEH, EL DÍA VIERNES 08 DE MAYO "/>
    <s v="ARQ. ORLANDO"/>
    <s v="ALTO"/>
    <d v="2026-05-05T00:00:00"/>
    <s v="SI"/>
    <s v="N/A"/>
    <s v="ARQ, ORLANDO SE CONECTA A LA REUNIÓN Y SE ELABORA REPORTE DE ACTIVIDADES (AEEH-2*1S/01-2026 REPORTES DE ACTIVIDADES)"/>
    <s v="N/A"/>
    <s v="N/A"/>
    <x v="0"/>
    <s v="N/A"/>
    <s v="N/A"/>
    <s v="N/A"/>
    <s v="N/A"/>
    <s v="N/A"/>
    <s v="DEPENDENCIA FEDERAL  "/>
    <s v="OTRAS INSTANCIAS"/>
    <x v="0"/>
    <x v="5"/>
    <m/>
    <x v="2"/>
    <m/>
    <m/>
    <n v="0"/>
    <n v="0"/>
    <n v="0"/>
    <s v="N/A"/>
    <s v="N/A"/>
  </r>
  <r>
    <n v="132"/>
    <s v="381"/>
    <x v="4"/>
    <d v="2026-05-05T00:00:00"/>
    <s v="117.DGISCPOS.2054/2026"/>
    <s v="AEEH-2*1S.3/04-2025_x000a_PROYECTOS ENERGÉTICOS - IBERDROLA"/>
    <s v="DIRECTOR GENERAL DE IMPACTO SOCIAL, CONSULTA PREVIA Y OCUPACIÓN SUPERFICIAL, INVITA A PARTICIPAR EN LA 1ER. SESIÓN DE FASE INFORMATIVA Y 2DA. FASE ED ACUERDOS PREVIOS PARA EL DESARROLLO DE LA CENTRAL FOTOVOLTAICA &quot;FV TECOZAUTLA&quot;"/>
    <s v="ARQ. ORLANDO_x000a_ARQ. DIEGO"/>
    <s v="ALTO"/>
    <d v="2026-05-05T00:00:00"/>
    <s v="SI"/>
    <s v="N/A"/>
    <s v="ARQ. ORLANDO ASISTE A LA SESIÓN, SE ELABORA REPORTE DE ACTIVIDADES"/>
    <s v="N/A"/>
    <s v="N/A"/>
    <x v="0"/>
    <s v="N/A"/>
    <s v="N/A"/>
    <s v="N/A"/>
    <s v="N/A"/>
    <s v="N/A"/>
    <s v="DEPENDENCIA FEDERAL  "/>
    <s v="OTRAS INSTANCIAS"/>
    <x v="0"/>
    <x v="5"/>
    <m/>
    <x v="2"/>
    <m/>
    <m/>
    <n v="0"/>
    <n v="0"/>
    <n v="0"/>
    <s v="N/A"/>
    <s v="N/A"/>
  </r>
  <r>
    <n v="133"/>
    <s v="376"/>
    <x v="4"/>
    <d v="2026-05-06T00:00:00"/>
    <s v="MMHR-245-2026"/>
    <s v="AEEH-2*1S.1/01-2026_x000a_ASESORIAS EN MATERIA ENERGÉTICA (VARIOS MUNICIPIOS)"/>
    <s v="PLANEACIÓN CFE-TULANCINGO, DA RESPUESTA A OFICIO AEEH/DG/347/2026, ENVIA LA RESPUESTA PARA LA AMPLIACIÓN DE RED ELECTRICA EN ZEMPOALA, GESTIÓN DE LA SRA. LUCIA ISLAS GUTIERREZ"/>
    <s v="ING. FRANCISCO"/>
    <s v="ALTO"/>
    <d v="2026-05-06T00:00:00"/>
    <s v="SI"/>
    <s v="SDE-UC-00236-26"/>
    <s v="DE CONOCIMIENTO "/>
    <s v="N/A"/>
    <s v="N/A"/>
    <x v="0"/>
    <s v="N/A"/>
    <s v="N/A"/>
    <s v="N/A"/>
    <s v="N/A"/>
    <s v="N/A"/>
    <s v="DEPENDENCIA FEDERAL  "/>
    <s v="SEGUIMIENTO A SOLICITUDES"/>
    <x v="5"/>
    <x v="5"/>
    <m/>
    <x v="2"/>
    <m/>
    <m/>
    <n v="0"/>
    <n v="0"/>
    <n v="0"/>
    <s v="N/A"/>
    <s v="N/A"/>
  </r>
  <r>
    <n v="134"/>
    <s v="377"/>
    <x v="4"/>
    <d v="2026-05-06T00:00:00"/>
    <s v="MMHR-223-2026"/>
    <s v="AEEH-2*1S.1/01-2026_x000a_ASESORIAS EN MATERIA ENERGÉTICA (VARIOS MUNICIPIOS)"/>
    <s v="CFE PLANEACIÓN Y CONSTRUCCIÓN ZONA TULANCINGO, DA RESPUESTA A OFICIO AEEH/DG/307/2026, ENVIA RESPUESTA A LA REUBICACIÓN DE POSTE "/>
    <s v="ING. FRANCISCO"/>
    <s v="ALTO"/>
    <d v="2026-05-06T00:00:00"/>
    <s v="SI"/>
    <s v="SDE-UC-00198-26"/>
    <s v="DE CONOCIMIENTO "/>
    <s v="N/A"/>
    <s v="N/A"/>
    <x v="0"/>
    <s v="N/A"/>
    <s v="N/A"/>
    <s v="N/A"/>
    <s v="N/A"/>
    <s v="N/A"/>
    <s v="DEPENDENCIA FEDERAL  "/>
    <s v="SEGUIMIENTO A SOLICITUDES"/>
    <x v="5"/>
    <x v="5"/>
    <m/>
    <x v="2"/>
    <m/>
    <m/>
    <n v="0"/>
    <n v="0"/>
    <n v="0"/>
    <s v="N/A"/>
    <s v="N/A"/>
  </r>
  <r>
    <n v="135"/>
    <s v="378"/>
    <x v="4"/>
    <d v="2026-05-06T00:00:00"/>
    <s v="GLO-123-2026"/>
    <s v="AEEH-2*1S.1/01-2026_x000a_ASESORIAS EN MATERIA ENERGÉTICA (VARIOS MUNICIPIOS)"/>
    <s v="SUPERINTENDENTE DE CFE ZONA DE DISTRIBUCIÓN TULANCINGO, DA RESPUESTA A OFICIO AEEH/DG/307/2026, ENVIA LA RESPUESTA A LA SOLICITUD DE FEDERICO ALFREDO CAZARES LOPEZ "/>
    <s v="ING. FRANCISCO"/>
    <s v="ALTO"/>
    <d v="2026-05-06T00:00:00"/>
    <s v="SI"/>
    <s v="SDE-UC-00198-26"/>
    <s v="DE CONOCIMIENTO "/>
    <s v="N/A"/>
    <s v="N/A"/>
    <x v="0"/>
    <s v="N/A"/>
    <s v="N/A"/>
    <s v="N/A"/>
    <s v="N/A"/>
    <s v="N/A"/>
    <s v="DEPENDENCIA FEDERAL  "/>
    <s v="SEGUIMIENTO A SOLICITUDES"/>
    <x v="5"/>
    <x v="5"/>
    <m/>
    <x v="2"/>
    <m/>
    <m/>
    <n v="0"/>
    <n v="0"/>
    <n v="0"/>
    <s v="N/A"/>
    <s v="N/A"/>
  </r>
  <r>
    <n v="136"/>
    <s v="383"/>
    <x v="4"/>
    <d v="2026-05-06T00:00:00"/>
    <s v="117.DGISPCPOS.2056-2026"/>
    <s v="AEEH-2*1S.3/04-2025_x000a_PROYECTOS ENERGÉTICOS - IBERDROLA"/>
    <s v="INVITACIÓN PARA PARTICIPAR EN LA 1ER. SESIÓN DE FASE INFORMATIVA PARA LA CENTRAL FOTOVOLTAICA &quot;FV TECOZAUTLA&quot;"/>
    <s v="ARQ. ORLANDO"/>
    <s v="BAJO"/>
    <d v="2026-05-06T00:00:00"/>
    <s v="SI"/>
    <s v="N/A"/>
    <s v="DE CONOCIMIENTO "/>
    <s v="N/A"/>
    <s v="N/A"/>
    <x v="0"/>
    <s v="N/A"/>
    <s v="N/A"/>
    <s v="N/A"/>
    <s v="N/A"/>
    <s v="N/A"/>
    <s v="DEPENDENCIA FEDERAL  "/>
    <s v="OTRAS INSTANCIAS"/>
    <x v="0"/>
    <x v="5"/>
    <m/>
    <x v="2"/>
    <m/>
    <m/>
    <n v="0"/>
    <n v="0"/>
    <n v="0"/>
    <s v="N/A"/>
    <s v="N/A"/>
  </r>
  <r>
    <n v="136"/>
    <s v="384"/>
    <x v="4"/>
    <d v="2026-05-06T00:00:00"/>
    <s v="IHDM/DG/473/2026"/>
    <s v="AEEH-2*1S.3/05-2026_x000a_INSTITUTO HIDALGUENSE PARA EL DESARROLLO MUNICIPAL"/>
    <s v="EL INSTITUTO HIDALGUENSE PARA EL DESARROLLO MUNICIPAL (INDEMUN), CONVOCA A REUNIÓN DE TRABAJO PARA DEFINIR ACCIONES DE COLABORACIÓN, EL DÍA 14 DE MAYO "/>
    <s v="ING. SANDRA"/>
    <s v="ALTO"/>
    <d v="2026-05-06T00:00:00"/>
    <s v="SI"/>
    <s v="N/A"/>
    <s v="NO SE ASISTE DEBIDO A LA CARGA DE TRABAJO DE LA DIRECCIÓN "/>
    <s v="N/A"/>
    <s v="N/A"/>
    <x v="0"/>
    <s v="N/A"/>
    <s v="N/A"/>
    <s v="N/A"/>
    <s v="N/A"/>
    <s v="N/A"/>
    <s v="DEPENDENCIA ESTATAL "/>
    <s v="OTRAS INSTANCIAS"/>
    <x v="0"/>
    <x v="5"/>
    <m/>
    <x v="2"/>
    <m/>
    <m/>
    <n v="0"/>
    <n v="0"/>
    <n v="0"/>
    <s v="N/A"/>
    <s v="N/A"/>
  </r>
  <r>
    <n v="138"/>
    <s v="235"/>
    <x v="4"/>
    <d v="2026-05-06T00:00:00"/>
    <s v="SEDECO/0321/2026"/>
    <s v="AEEH-2*1S.3/05-2025_x000a_PROYECTOS ENERGETICOS- DHAMMA ENERGY "/>
    <s v="SECRETARIO DE SEDECO, ENVIA OFICIO AL INSTITUTO NACIONAL DE LOS PUEBLOS INDIGENAS (INPI), ENVIA LA RESPUESTA AL OFICIO DGPI/DPC/2026/OF/045, ENTREGA DE INFORMACIÓN INDIGENA DE LOS PROYECTOS FOTOVOLTAICOS EN SINGUILUCAN, EPAZOYUCAN Y ZEMPOALA  "/>
    <s v="ARQ. DIEGO"/>
    <s v="ALTO"/>
    <d v="2026-05-06T00:00:00"/>
    <s v="SI"/>
    <s v="SDE-AEEH-00375-26"/>
    <s v="DE CONOCIMIENTO "/>
    <s v="N/A"/>
    <s v="N/A"/>
    <x v="0"/>
    <s v="N/A"/>
    <s v="N/A"/>
    <s v="N/A"/>
    <s v="N/A"/>
    <s v="N/A"/>
    <s v="DEPENDENCIA ESTATAL "/>
    <s v="OTRAS INSTANCIAS"/>
    <x v="0"/>
    <x v="5"/>
    <m/>
    <x v="2"/>
    <m/>
    <m/>
    <n v="1"/>
    <n v="1"/>
    <n v="0"/>
    <s v="N/A"/>
    <s v="N/A"/>
  </r>
  <r>
    <n v="139"/>
    <s v="236"/>
    <x v="4"/>
    <d v="2026-05-06T00:00:00"/>
    <s v="SEDECO/0240/2026"/>
    <s v="AEEH-2*1S.3/05-2025_x000a_PROYECTOS ENERGETICOS- DHAMMA ENERGY "/>
    <s v="SECRETARIO DE SEDECO, ENVIA OFICIO AL INSTITUTO NACIONAL DE LOS PUEBLOS INDIGENAS (INPI), ENVIA POLIGONALES GEORREFERENCIADOS DE LOS PARQUES SOLARES DE SINGUILUCAN, EPAZOYUCAN Y ZEMPOALA"/>
    <s v="ARQ. DIEGO"/>
    <s v="ALTO"/>
    <d v="2026-05-06T00:00:00"/>
    <s v="SI"/>
    <s v="SDE-AEEH-00375-26"/>
    <s v="DE CONOCIMIENTO "/>
    <s v="N/A"/>
    <s v="N/A"/>
    <x v="0"/>
    <s v="N/A"/>
    <s v="N/A"/>
    <s v="N/A"/>
    <s v="N/A"/>
    <s v="N/A"/>
    <s v="DEPENDENCIA ESTATAL "/>
    <s v="OTRAS INSTANCIAS"/>
    <x v="0"/>
    <x v="5"/>
    <m/>
    <x v="2"/>
    <m/>
    <m/>
    <n v="1"/>
    <n v="1"/>
    <n v="0"/>
    <s v="N/A"/>
    <s v="N/A"/>
  </r>
  <r>
    <n v="140"/>
    <s v="238"/>
    <x v="4"/>
    <d v="2026-05-06T00:00:00"/>
    <s v="SEDECO/0320/2026"/>
    <s v="AEEH-2*1S.3/05-2025_x000a_PROYECTOS ENERGETICOS- DHAMMA ENERGY "/>
    <s v="SECRETARIO DE SEDECO, ENVIA OFICIO AL COMISIONADO ESTATAL PARA EL DESARROLLO SOSTENIBLE DE LOS PUEBLOS INDIGENAS (CEDSPI), SOLICITUD DE DICTAMEN DE PROCEDENCIA O IMPROCEDENCIA DE CONSULTA INDIGENA APLICABLE A LOS 3 PROYECTOS FOTOVOLTAICOS DE EPAZOYUCAN, SINGUILUCAN Y ZEMPOALA"/>
    <s v="ARQ. DIEGO"/>
    <s v="ALTO"/>
    <d v="2026-05-06T00:00:00"/>
    <s v="SI"/>
    <s v="SDE-AEEH-00376-26"/>
    <s v="DE CONOCIMIENTO "/>
    <s v="N/A"/>
    <s v="N/A"/>
    <x v="0"/>
    <s v="N/A"/>
    <s v="N/A"/>
    <s v="N/A"/>
    <s v="N/A"/>
    <s v="N/A"/>
    <s v="DEPENDENCIA ESTATAL "/>
    <s v="OTRAS INSTANCIAS"/>
    <x v="0"/>
    <x v="5"/>
    <m/>
    <x v="2"/>
    <m/>
    <m/>
    <n v="1"/>
    <n v="1"/>
    <n v="0"/>
    <s v="N/A"/>
    <s v="N/A"/>
  </r>
  <r>
    <n v="141"/>
    <s v="237"/>
    <x v="4"/>
    <d v="2026-05-06T00:00:00"/>
    <s v="SEDECO/0258/2026"/>
    <s v="AEEH-2*1S.1/04-2026_x000a_LICITACIONES CFE - AFECTACIONES ONDA TROPICAL NO. 90 E"/>
    <s v="SECRETARIO DE SEDECO, ENVIA OFICIO AL ENCARGADO DE LA GERENCIA DE LA DIVISIÓN CFE GOLFO CENTRO, CON LA SOLICITUD DE ALCANCE TÉCNICO DE LOS TRABAJOS DERIVADOS DE LAS AFECTACIONES OCASIONADOS POR ONDA TROPICAL NO. 90E. "/>
    <s v="ARQ. DIEGO"/>
    <s v="ALTO"/>
    <d v="2026-05-06T00:00:00"/>
    <s v="SI"/>
    <s v="N/A"/>
    <s v="DE CONOCIMIENTO "/>
    <s v="N/A"/>
    <s v="N/A"/>
    <x v="0"/>
    <s v="N/A"/>
    <s v="N/A"/>
    <s v="N/A"/>
    <s v="N/A"/>
    <s v="N/A"/>
    <s v="DEPENDENCIA ESTATAL "/>
    <s v="OTRAS INSTANCIAS"/>
    <x v="0"/>
    <x v="5"/>
    <m/>
    <x v="2"/>
    <m/>
    <m/>
    <n v="1"/>
    <n v="1"/>
    <n v="0"/>
    <s v="N/A"/>
    <s v="N/A"/>
  </r>
  <r>
    <n v="142"/>
    <s v="386"/>
    <x v="4"/>
    <d v="2026-05-07T00:00:00"/>
    <s v="SEDECO/CGI/0158/2026"/>
    <s v="ARQ. ORLANDO "/>
    <s v="INVITACIÓN PARA ASISTIR A REUNIONES TRIMETRALES CON LA DIRECCIÓN DE ATENCIÓN AL PUEBLO "/>
    <s v="ARQ. ORLANDO"/>
    <s v="BAJO"/>
    <d v="2026-05-07T00:00:00"/>
    <s v="SI"/>
    <s v="SDE-CGI-00265-26"/>
    <s v=" DE CONOCIMIENTO "/>
    <s v="N/A"/>
    <s v="N/A"/>
    <x v="0"/>
    <s v="N/A"/>
    <s v="N/A"/>
    <s v="N/A"/>
    <s v="N/A"/>
    <s v="N/A"/>
    <s v="DEPENDENCIA ESTATAL "/>
    <s v="OTRAS INSTANCIAS"/>
    <x v="0"/>
    <x v="5"/>
    <m/>
    <x v="2"/>
    <m/>
    <m/>
    <n v="1"/>
    <n v="1"/>
    <n v="0"/>
    <s v="N/A"/>
    <s v="N/A"/>
  </r>
  <r>
    <n v="143"/>
    <s v="393"/>
    <x v="4"/>
    <d v="2026-05-15T00:00:00"/>
    <s v="SEMARNATH/DESP-234/2026"/>
    <s v="AEEH-2*1S.4/08-2026_x000a_SUBCOMITÉ SECTORIAL DE MEDIO AMBIENTE Y RECURSOS NATURALES "/>
    <s v="CONVOCATORIA PARA ASISTIR A LA NOVENA SESIÓN ORDINARIA DEL SUBCOMITÉ SECTORIAL DE MEDIO AMBIENTE Y RECURSOS NATURALES DEL COPADEHI, EL DÍA VIERNES 15 DE MAYO  "/>
    <s v="ARQ. ORLANDO"/>
    <s v="MEDIO"/>
    <d v="2026-05-15T00:00:00"/>
    <s v="SI"/>
    <s v="N/A"/>
    <s v="ARQ. ORLANDO SE CONECTA A LA REUNIÓN, SE ELABORA REPORTE DE ACTIVIDADES"/>
    <s v="N/A"/>
    <s v="N/A"/>
    <x v="0"/>
    <s v="N/A"/>
    <s v="N/A"/>
    <s v="N/A"/>
    <s v="N/A"/>
    <s v="N/A"/>
    <s v="DEPENDENCIA ESTATAL "/>
    <s v="OTRAS INSTANCIAS"/>
    <x v="0"/>
    <x v="5"/>
    <m/>
    <x v="2"/>
    <m/>
    <m/>
    <n v="1"/>
    <n v="1"/>
    <n v="0"/>
    <s v="N/A"/>
    <s v="N/A"/>
  </r>
  <r>
    <n v="144"/>
    <s v="395"/>
    <x v="4"/>
    <d v="2026-05-15T00:00:00"/>
    <s v="SEDECO/CGI/TI/0566/2026_x000a_SDPEE/DGAP/2830/2026"/>
    <s v="AEEH-2*1S.1/01-2026_x000a_ASESORIAS EN MATERIA ENERGÉTICA (VARIOS MUNICIPIOS)"/>
    <s v="ATENDER A MACLOVIO LOZADA GONZALEZ, QUIEN SOLICITA APOYO CON SERVICIO DE ELECTRICIDAD PARA SU COMUNIDAD "/>
    <s v="ING. FRANCISCO"/>
    <s v="ALTO"/>
    <d v="2026-05-15T00:00:00"/>
    <s v="SI"/>
    <s v="SDE-UC-00622-26"/>
    <s v="AEEH/DG/455/2026, DE FECHA 20/05/2026, ENVIADO AL ING. OCTAVIO GÓMEZ PAULIN, COORDINADOR DE GESTIÓN INSTITUCIONAL  "/>
    <s v="NO"/>
    <s v="N/A"/>
    <x v="0"/>
    <s v="N/A"/>
    <s v="N/A"/>
    <s v="N/A"/>
    <s v="N/A"/>
    <s v="N/A"/>
    <s v="CIUDADANO (A)"/>
    <s v="ATENCIÓN AL PUEBLO"/>
    <x v="2"/>
    <x v="24"/>
    <s v="COL. LAS AMERICAS "/>
    <x v="0"/>
    <s v="775 149 5962"/>
    <m/>
    <n v="0"/>
    <n v="0"/>
    <n v="0"/>
    <s v="CENTRO ORIENTE"/>
    <s v="ZONA TULANCINGO"/>
  </r>
  <r>
    <n v="145"/>
    <s v="396"/>
    <x v="4"/>
    <d v="2026-05-15T00:00:00"/>
    <s v="SEDECO/CGI/TI/0568/2026_x000a_SDPEE/DGAP/28721/2026"/>
    <s v="AEEH-2*1S.1/01-2026_x000a_ASESORIAS EN MATERIA ENERGÉTICA (VARIOS MUNICIPIOS)"/>
    <s v="ATENDER A ODÓN RAMOS ÁNGELES, QUIEN SOLICITA 6 PANELES SOLARES PARA SU LOCALIDAD "/>
    <s v="ING. FRANCISCO"/>
    <s v="ALTO"/>
    <d v="2026-05-15T00:00:00"/>
    <s v="SI"/>
    <s v="SDE-UC-00637-26"/>
    <s v="AEEH/DG/456/2026, DE FECHA 20/05/2026, ENVIADO AL ING. OCTAVIO GÓMEZ PAULIN, COORDINADOR DE GESTIÓN INSTITUCIONAL  "/>
    <s v="N/A"/>
    <s v="N/A"/>
    <x v="0"/>
    <s v="N/A"/>
    <s v="N/A"/>
    <s v="N/A"/>
    <s v="N/A"/>
    <s v="N/A"/>
    <s v="CIUDADANO (A)"/>
    <s v="ATENCIÓN AL PUEBLO"/>
    <x v="4"/>
    <x v="17"/>
    <s v="PEZMAPA"/>
    <x v="0"/>
    <n v="7711323732"/>
    <m/>
    <n v="1"/>
    <n v="6"/>
    <n v="24"/>
    <s v="GOLFO CENTRO"/>
    <s v="ZONA HUEJUTLA "/>
  </r>
  <r>
    <n v="146"/>
    <s v="402"/>
    <x v="4"/>
    <d v="2026-05-15T00:00:00"/>
    <s v="SEDECO/CGI/TI/059/2026_x000a_SDPEE/DGAP/2933/2026"/>
    <s v="AEEH-2*1S.1/01-2026_x000a_ASESORIAS EN MATERIA ENERGÉTICA (VARIOS MUNICIPIOS)"/>
    <s v="ATENDER AL C. ELEAZAR MUÑOZ ARÁMBULA, QUIEN SOLICITA APOYO CON EL SERVICIO DE LUZ EN LA CALLE TLACPAC"/>
    <s v="ING. FRANCISCO"/>
    <s v="ALTO"/>
    <d v="2026-05-15T00:00:00"/>
    <s v="EN PROCESO"/>
    <s v="SDE-UC-00699-26"/>
    <s v="AEEH/DG/457/2026, DE FECHA 20/05/2026, ENVIADO AL ING. OCTAVIO GÓMEZ PAULIN, COORDINADOR DE GESTIÓN INSTITUCIONAL  "/>
    <s v="N/A"/>
    <s v="N/A"/>
    <x v="0"/>
    <s v="N/A"/>
    <s v="N/A"/>
    <s v="N/A"/>
    <s v="N/A"/>
    <s v="N/A"/>
    <s v="CIUDADANO (A)"/>
    <s v="ATENCIÓN AL PUEBLO"/>
    <x v="2"/>
    <x v="22"/>
    <s v="BARRIO LOS TRUNCOS "/>
    <x v="0"/>
    <n v="7821214689"/>
    <m/>
    <n v="1"/>
    <n v="1"/>
    <n v="4"/>
    <s v="CENTRO ORIENTE"/>
    <s v="ZONA TULANCINGO"/>
  </r>
  <r>
    <n v="147"/>
    <s v="413"/>
    <x v="4"/>
    <d v="2026-05-20T00:00:00"/>
    <s v="SEDECO/CGI/TI/0599/2026_x000a_SDPEE/DGAP/2971/2026"/>
    <s v="AEEH-2*1S.1/01-2026_x000a_ASESORIAS EN MATERIA ENERGÉTICA (VARIOS MUNICIPIOS)"/>
    <s v="ATENDER AL DELEGADO JUAN BAUTISTA HERNÁNDEZ, QUIEN SOLICITA LA AMPLIACIÓN DE RED ELECTRICA EN SU COMUNIDAD "/>
    <s v="ING. FRANCISCO"/>
    <s v="ALTO"/>
    <d v="2026-05-20T00:00:00"/>
    <s v="EN PROCESO"/>
    <s v="SDE-UC-00700-26"/>
    <m/>
    <s v="N/A"/>
    <s v="N/A"/>
    <x v="0"/>
    <s v="N/A"/>
    <s v="N/A"/>
    <s v="N/A"/>
    <s v="N/A"/>
    <s v="N/A"/>
    <s v="DELEGADO (A) MUNICIPAL "/>
    <s v="ATENCIÓN AL PUEBLO"/>
    <x v="2"/>
    <x v="8"/>
    <s v="COAMLIA"/>
    <x v="0"/>
    <n v="7713290879"/>
    <m/>
    <n v="1"/>
    <n v="0"/>
    <m/>
    <s v="GOLFO CENTRO"/>
    <s v="ZONA HUEJUTLA "/>
  </r>
  <r>
    <n v="148"/>
    <s v="414"/>
    <x v="4"/>
    <d v="2026-05-20T00:00:00"/>
    <s v="SEDECO/CGI/TI/0601/2026_x000a_SDPEE/DGAP/2990/2026"/>
    <s v="AEEH-2*1S.1/01-2026_x000a_ASESORIAS EN MATERIA ENERGÉTICA (VARIOS MUNICIPIOS)"/>
    <s v="ATENDER AL DELEGADO MARGARITO LEMUS TEMPLOS, QUIEN SOLICITA ALUMBRADO PUBLICO EN SU LOCALIDAD "/>
    <s v="ING. FRANCISCO"/>
    <s v="ALTO"/>
    <d v="2026-05-20T00:00:00"/>
    <s v="EN PROCESO"/>
    <s v="SDE-UC-00698-26"/>
    <m/>
    <s v="N/A"/>
    <s v="N/A"/>
    <x v="0"/>
    <s v="N/A"/>
    <s v="N/A"/>
    <s v="N/A"/>
    <s v="N/A"/>
    <s v="N/A"/>
    <s v="DELEGADO (A) MUNICIPAL "/>
    <s v="ATENCIÓN AL PUEBLO"/>
    <x v="3"/>
    <x v="16"/>
    <s v="EL NOPALILLO "/>
    <x v="0"/>
    <n v="7751023519"/>
    <m/>
    <n v="1"/>
    <n v="0"/>
    <m/>
    <s v="GOLFO CENTRO"/>
    <s v="ZONA HUEJUTLA "/>
  </r>
  <r>
    <n v="149"/>
    <s v="416"/>
    <x v="4"/>
    <d v="2026-05-20T00:00:00"/>
    <s v="SEDECO/CGI/TI/0600/2026_x000a_SDPEE/DGAP/2986/2026"/>
    <s v="AEEH-2*1S.1/01-2026_x000a_ASESORIAS EN MATERIA ENERGÉTICA (VARIOS MUNICIPIOS)"/>
    <s v="ATENDER A ROSALVA TEPETITLA GALINDO, QUIEN SOLICITA EL SERVICIO DE ENERGIA ELECTRICA EN SU LOCALIDAD "/>
    <s v="ING. FRANCISCO"/>
    <s v="ALTO"/>
    <d v="2026-05-20T00:00:00"/>
    <s v="EN PROCESO"/>
    <s v="SDE-UC-00697-26"/>
    <m/>
    <s v="N/A"/>
    <s v="N/A"/>
    <x v="0"/>
    <s v="N/A"/>
    <s v="N/A"/>
    <s v="N/A"/>
    <s v="N/A"/>
    <s v="N/A"/>
    <s v="CIUDADANO (A)"/>
    <s v="ATENCIÓN AL PUEBLO"/>
    <x v="2"/>
    <x v="24"/>
    <s v="COL. LAS AMERICAS "/>
    <x v="1"/>
    <n v="7752069491"/>
    <m/>
    <n v="1"/>
    <n v="0"/>
    <m/>
    <s v="CENTRO ORIENTE"/>
    <s v="ZONA TULANCINGO"/>
  </r>
  <r>
    <n v="150"/>
    <s v="417"/>
    <x v="4"/>
    <d v="2026-05-20T00:00:00"/>
    <s v="SEDECO/CGI/TI/0607/2026_x000a_SDPEE/DGAP/3021/2026"/>
    <s v="AEEH-2*1S.1/01-2026_x000a_ASESORIAS EN MATERIA ENERGÉTICA (VARIOS MUNICIPIOS)"/>
    <s v="ATENDER A MARILY RUIZ SERNA, QUIEN SOLICITA EL SERVICIO DE ENERGIA ELECTRICA EN SU LOCALIDAD "/>
    <s v="ING. FRANCISCO"/>
    <s v="ALTO"/>
    <d v="2026-05-20T00:00:00"/>
    <s v="EN PROCESO"/>
    <s v="SDE-UC-00724-26"/>
    <m/>
    <s v="N/A"/>
    <s v="N/A"/>
    <x v="0"/>
    <s v="N/A"/>
    <s v="N/A"/>
    <s v="N/A"/>
    <s v="N/A"/>
    <s v="N/A"/>
    <s v="CIUDADANO (A)"/>
    <s v="ATENCIÓN AL PUEBLO"/>
    <x v="2"/>
    <x v="37"/>
    <m/>
    <x v="1"/>
    <n v="7713560809"/>
    <m/>
    <n v="1"/>
    <n v="0"/>
    <m/>
    <s v="GOLFO CENTRO"/>
    <s v="ZONA HUEJUTLA "/>
  </r>
  <r>
    <n v="151"/>
    <s v="418"/>
    <x v="4"/>
    <d v="2026-05-20T00:00:00"/>
    <s v="SEDECO/CGI/TI/0608/2026_x000a_SDPEE/DGAP/3060/2026"/>
    <s v="AEEH-2*1S.1/01-2026_x000a_ASESORIAS EN MATERIA ENERGÉTICA (VARIOS MUNICIPIOS)"/>
    <s v="ATENDER AL C. JOSE AQUINO NARANJO QUIEN SOLICITA LA TERMINACIÓN DE LA AMPLIACIÓN DEL SERVICIO DE ENERGÍA ELECTRICA EN SU LOCALIDAD "/>
    <s v="ING. FRANCISCO"/>
    <s v="ALTO"/>
    <d v="2026-05-20T00:00:00"/>
    <s v="EN PROCESO"/>
    <s v="SDE-UC-00716-26"/>
    <m/>
    <s v="N/A"/>
    <s v="N/A"/>
    <x v="0"/>
    <s v="N/A"/>
    <s v="N/A"/>
    <s v="N/A"/>
    <s v="N/A"/>
    <s v="N/A"/>
    <s v="DELEGADO (A) MUNICIPAL "/>
    <s v="ATENCIÓN AL PUEBLO"/>
    <x v="2"/>
    <x v="12"/>
    <m/>
    <x v="0"/>
    <n v="7715263559"/>
    <m/>
    <n v="1"/>
    <n v="0"/>
    <m/>
    <s v="GOLFO CENTRO"/>
    <s v="ZONA HUEJUTLA "/>
  </r>
  <r>
    <m/>
    <m/>
    <x v="5"/>
    <m/>
    <m/>
    <m/>
    <m/>
    <m/>
    <m/>
    <m/>
    <m/>
    <m/>
    <m/>
    <m/>
    <m/>
    <x v="3"/>
    <m/>
    <m/>
    <m/>
    <m/>
    <m/>
    <m/>
    <m/>
    <x v="9"/>
    <x v="5"/>
    <m/>
    <x v="2"/>
    <m/>
    <m/>
    <m/>
    <m/>
    <m/>
    <m/>
    <m/>
  </r>
</pivotCacheRecords>
</file>

<file path=xl/pivotCache/pivotCacheRecords3.xml><?xml version="1.0" encoding="utf-8"?>
<pivotCacheRecords xmlns="http://schemas.openxmlformats.org/spreadsheetml/2006/main" xmlns:r="http://schemas.openxmlformats.org/officeDocument/2006/relationships" count="151">
  <r>
    <n v="1"/>
    <s v="123"/>
    <x v="0"/>
    <d v="2026-02-17T00:00:00"/>
    <s v="SEDECO/CGI/TI/0156/2026_x000a_SDPEE/DGAP/339/2026"/>
    <s v="AEEH-2*1S.1/01-2026_x000a_ASESORIAS EN MATERIA ENERGÉTICA (VARIOS MUNICIPIOS)"/>
    <s v="ATENDER AL C. MIGUEL ALONSO HERNÁNDEZ (ANGELICA ALONSO GONZALEZ), PARA CONECTARSE A LA RED DE ENERGÍA ELÉCTRICA EN LA COMUNIDAD DE LAS NUECES, HUEJUTLA (TLANCHINOL)"/>
    <s v="ING. FRANCISCO"/>
    <s v="ALTO"/>
    <d v="2026-02-18T00:00:00"/>
    <x v="0"/>
    <s v="SDE-UCC-07902-26"/>
    <s v=" AEEH/DG/152/2026, DE FECHA 23/02/2026, ENVIADO AL ING. OCTAVIO GÓMEZ PAULIN._x000a_"/>
    <x v="0"/>
    <s v="AEEH/DG/0731/2026, DE FECHA 03/08/2026, ENVIADO AL ING. HUGO ALEJANDRO ABUNDIS GONZÁLEZ "/>
    <s v="NO"/>
    <s v="N/A"/>
    <s v="N/A"/>
    <s v="N/A"/>
    <s v="N/A"/>
    <s v="N/A"/>
    <s v="CIUDADANO (A)"/>
    <x v="0"/>
    <x v="0"/>
    <s v="28 HUEJUTLA DE REYES"/>
    <s v="LAS NUECES"/>
    <s v="MASCULINO "/>
    <n v="7713663097"/>
    <m/>
    <n v="1"/>
    <n v="1"/>
    <n v="4"/>
    <s v="GOLFO CENTRO"/>
    <s v="ZONA HUEJUTLA "/>
  </r>
  <r>
    <n v="2"/>
    <s v="149"/>
    <x v="0"/>
    <d v="2026-02-20T00:00:00"/>
    <s v="SEDECO /CGI/TI/0190/2026_x000a_SDPEE/DGAP/538/2026"/>
    <s v="AEEH-2*1S.1/01-2026_x000a_ASESORIAS EN MATERIA ENERGÉTICA (VARIOS MUNICIPIOS)"/>
    <s v="SOLICITA SE LE DE ATENCIÓN AL C. PEDRO MOEDANO BACA, QUIEN SOLICITA INSTALACIÓN DE UNA RED DE ALUMBRADO PÚBLICO "/>
    <s v="ING. FRANCISCO"/>
    <s v="ALTO"/>
    <d v="2026-02-25T00:00:00"/>
    <x v="0"/>
    <s v="SDE-UCC-07900-26"/>
    <s v=" AEEH/DG/168/2026, DE FECHA 27/02/2026, ENVIADO AL ING. OCTAVIO GÓMEZ PAULIN._x000a_AEEH/DG/193/2026, DE FECHA 09/03/2026, ENVIADO AL ING. OCTAVIO GÓMEZ PAULIN."/>
    <x v="1"/>
    <s v="N/A"/>
    <s v="N/A"/>
    <s v="N/A"/>
    <s v="N/A"/>
    <s v="N/A"/>
    <s v="N/A"/>
    <s v="N/A"/>
    <s v="CIUDADANO (A)"/>
    <x v="0"/>
    <x v="1"/>
    <s v="12 ATOTONILCO EL GRANDE"/>
    <s v="SAN JOSÉ ZOQUITAL "/>
    <s v="MASCULINO "/>
    <n v="7712067240"/>
    <s v="gutierrezolguinm@gmail.com"/>
    <n v="1"/>
    <n v="425"/>
    <n v="1700"/>
    <s v="CENTRO ORIENTE"/>
    <s v="ZONA PACHUCA"/>
  </r>
  <r>
    <n v="3"/>
    <s v="225"/>
    <x v="1"/>
    <d v="2026-03-11T00:00:00"/>
    <s v="SEDECO/CGI/TI/0297/2026_x000a_SDPEE/DGAP/1048/2026"/>
    <s v="AEEH-2*1S.1/01-2026_x000a_ASESORIAS EN MATERIA ENERGÉTICA (VARIOS MUNICIPIOS)"/>
    <s v="ATENDER A LA C. TANIA SULEMA CALVA HERRERA, QUIEN SOLICITA LA AMPLIACION DE RED ELECTRICA EN SU COMUNIDAD "/>
    <s v="ING. FRANCISCO"/>
    <s v="ALTO"/>
    <d v="2026-03-13T00:00:00"/>
    <x v="0"/>
    <s v="SDE-UC-00117-26"/>
    <s v=" AEEH/DG/238/2026, DE FECHA 23/03/2026, ENVIADO AL ING. OCTAVIO GÓMEZ PAULIN._x000a_AEEH/DG/278/2026, DE FECHA 31/03/2026, ENVIADO AL ING. OCTAVIO GÓMEZ PAULIN._x000a_"/>
    <x v="1"/>
    <s v="N/A"/>
    <s v="N/A"/>
    <s v="N/A"/>
    <s v="N/A"/>
    <s v="N/A"/>
    <s v="N/A"/>
    <s v="N/A"/>
    <s v="CIUDADANO (A)"/>
    <x v="0"/>
    <x v="2"/>
    <s v="9 EL ARENAL"/>
    <s v="OJO DE AGUA"/>
    <s v="FEMENINO "/>
    <n v="7714057898"/>
    <m/>
    <n v="1"/>
    <n v="1"/>
    <n v="0"/>
    <s v="CENTRO ORIENTE"/>
    <s v="ZONA PACHUCA"/>
  </r>
  <r>
    <n v="4"/>
    <s v="291"/>
    <x v="2"/>
    <d v="2026-04-07T00:00:00"/>
    <s v="SEDECO/CGI/TI/0408/2026_x000a_SDPEE/DGAP/1816/2026"/>
    <s v="AEEH-2*1S.1/01-2026_x000a_ASESORIAS EN MATERIA ENERGÉTICA (VARIOS MUNICIPIOS)"/>
    <s v="ATENDER A LA DELEGADA GRICELDA MARTÍNEZ CHÁVEZ, QUIEN SOLICITA APOYO PARA CAMBIAR LA LINEA DE LUZ YA QUE LOS POSTES SE ENCUENTRAN EN MAL ESTADO "/>
    <s v="ING. FRANCISCO"/>
    <s v="ALTO"/>
    <d v="2026-04-07T00:00:00"/>
    <x v="0"/>
    <s v="SDE-UC-00316-26"/>
    <s v=" AEEH/DG/311/2026, DE FECHA 10/04/2026, ENVIADO AL ING. OCTAVIO GÓMEZ PAULIN COORDINADOR DE GESTIÓN INSTITUCIONAL _x000a_"/>
    <x v="0"/>
    <s v=" AEEH/DG/386/2026, DE FECHA 28/04/2026, ENVIADO AL ING. ALEJANDRO YUSULMAN HERNÁNDEZ LEAL, SUPERINTENDENTE DE CFE DISTRIBUCIÓN ZONA IXMIQUILPAN "/>
    <s v="NO"/>
    <s v="N/A"/>
    <s v="N/A"/>
    <s v="N/A"/>
    <s v="N/A"/>
    <s v="N/A"/>
    <s v="DELEGADO (A) MUNICIPAL "/>
    <x v="0"/>
    <x v="3"/>
    <s v="6 ALFAJAYUCAN"/>
    <s v="BOXTHÓ"/>
    <s v="FEMENINO "/>
    <n v="7721374560"/>
    <m/>
    <n v="1"/>
    <n v="30"/>
    <n v="120"/>
    <s v="DIVISION BAJIO"/>
    <s v="ZONA IXMIQUILPAN"/>
  </r>
  <r>
    <n v="5"/>
    <s v="068"/>
    <x v="0"/>
    <d v="2026-02-04T00:00:00"/>
    <s v="S/N"/>
    <s v="AEEH-2*1S.5/01-2026_x000a_ENERGIA REGIONAL "/>
    <s v="ENERGIA REGIONAL SOLICITA AUDIENCIA PARA PRESENTAR LA PROPUESTA &quot;ESTUDIO TÉCNICO JUSTIFICATIVO PARA LA INSCRIPCIÓN DE PROYECTOS DE ELECTRICIDAD EN LA PLANEACIÓN VINCULANTE&quot;"/>
    <s v="ARQ. ORLANDO"/>
    <s v="ALTO"/>
    <d v="2026-02-04T00:00:00"/>
    <x v="0"/>
    <s v="SDE-UCC-07705-26"/>
    <s v=" AEEH/DG/319/2026, DE FECHA 10/04/2026, ENVIADO AL ING. OCTAVIO GOMEZ PAULIN, COORDINADOR DE GESTÍON INSTITUCIONAL_x000a_ARQ. ORLANDO SE CONECTA A LA REUNIÓN CON EL C. MIGUEL ÁNGEL HORTA MARTIN "/>
    <x v="2"/>
    <s v="N/A"/>
    <s v="N/A"/>
    <s v="N/A"/>
    <s v="N/A"/>
    <s v="N/A"/>
    <s v="N/A"/>
    <s v="N/A"/>
    <s v="EMPRESA PRIVADA "/>
    <x v="1"/>
    <x v="4"/>
    <m/>
    <m/>
    <s v="MASCULINO "/>
    <s v="55 41 77 30 76"/>
    <s v="miguel.horta@eregional.com.mx"/>
    <n v="1"/>
    <n v="1"/>
    <n v="0"/>
    <s v="N/A"/>
    <s v="N/A"/>
  </r>
  <r>
    <n v="6"/>
    <s v="316"/>
    <x v="2"/>
    <d v="2026-04-13T00:00:00"/>
    <s v="SEDECO/CGI/TI/0450/2026_x000a_SDPEE/DGAP/2191/2026"/>
    <s v="AEEH-2*1S.1/01-2026_x000a_ASESORIAS EN MATERIA ENERGÉTICA (VARIOS MUNICIPIOS)"/>
    <s v="ATENDER A PEDRO GUERRERO GONZALEZ, QUIEN SOLICITA LA AMPLIACIÓN DE LA RED DE ENERGIA ELECTRICA Y COLOCACIÓN DE 2 TRANSFORMADORES EN SU LOCALIDAD "/>
    <s v="ING. FRANCISCO"/>
    <s v="ALTO"/>
    <d v="2026-04-13T00:00:00"/>
    <x v="0"/>
    <s v="SDE-UC-00404-26"/>
    <s v=" AEEH/DG/359/2026, DE FECHA 21/04/2026, ENVIADO AL ING. OCTAVIO GOMEZ PAULIN_x000a_"/>
    <x v="0"/>
    <s v=" AEEH/DG/432/2026, DE FECHA 14/05/2026, ENVIADO AL ING. ALEJANDRO YUSULMAN HERNÁNDEZ LEAL, SUPERINTENDENTE DE LA CFE ZONA IXMIQUILPAN "/>
    <s v="NO"/>
    <s v="N/A"/>
    <s v="N/A"/>
    <s v="N/A"/>
    <s v="N/A"/>
    <s v="N/A"/>
    <s v="DELEGADO (A) MUNICIPAL "/>
    <x v="0"/>
    <x v="2"/>
    <s v="29 HUICHAPAN"/>
    <s v="JONACOPA"/>
    <s v="MASCULINO "/>
    <n v="7731284313"/>
    <s v="pedroguerrerogonz30@gmail.com"/>
    <n v="1"/>
    <n v="45"/>
    <n v="180"/>
    <s v="DIVISION BAJIO"/>
    <s v="ZONA IXMIQUILPAN"/>
  </r>
  <r>
    <n v="7"/>
    <s v="509"/>
    <x v="3"/>
    <d v="2026-06-17T00:00:00"/>
    <s v="SEDECO/CGI/TI/0758/2026_x000a_SDPEE/DGAP/3882/2026"/>
    <s v="AEEH-2*1S.1/01-2026_x000a_ASESORIAS EN MATERIA ENERGÉTICA (VARIOS MUNICIPIOS)"/>
    <s v="ATENDER AL C. ROGELIO MORALES HERNÁNDEZ, QUIEN SOLICITA MEDIACIÓN CON CFE PARA LA REUBICACIÓN DE UN POSTE DE SU LOCALIDAD."/>
    <s v="ING. FRANCISCO"/>
    <s v="ALTO"/>
    <d v="2026-06-18T00:00:00"/>
    <x v="0"/>
    <s v="SDE-UC-01014-26"/>
    <s v=" AEEH/DG/590/2026, DE FECHA 30/06/2026, ENVIADO AL ING. OCTAVIO GÓMEZ PAULIN, COORDINADOR DE GESTIÓN INSTITUCIONAL. _x000a_"/>
    <x v="1"/>
    <s v="N/A"/>
    <s v="N/A"/>
    <s v="N/A"/>
    <m/>
    <m/>
    <m/>
    <m/>
    <s v="DELEGADO (A) MUNICIPAL "/>
    <x v="0"/>
    <x v="5"/>
    <s v="81 ZACUALTIPÁN DE ÁNGELES"/>
    <s v="SAN MIGUEL FERRERÍA  "/>
    <s v="MASCULINO "/>
    <s v="55 45 33 81 78 "/>
    <m/>
    <n v="1"/>
    <m/>
    <m/>
    <s v="GOLFO CENTRO"/>
    <s v="ZONA HUEJUTLA "/>
  </r>
  <r>
    <n v="8"/>
    <s v="510"/>
    <x v="3"/>
    <d v="2026-06-17T00:00:00"/>
    <s v="SEDECO/CGI/TI/0759/2026_x000a_SDPEE/DGAP/3883/2026"/>
    <s v="AEEH-2*1S.1/01-2026_x000a_ASESORIAS EN MATERIA ENERGÉTICA (VARIOS MUNICIPIOS)"/>
    <s v="ATENDER AL C. ROGELIO MORALES HERNÁNDEZ, QUIEN SOLICITA MEDIACIÓN CON CFE PARA LA REHABILITACIÓN DE ALUMBRADO PÚBLICO. "/>
    <s v="ING. FRANCISCO"/>
    <s v="ALTO"/>
    <d v="2026-06-18T00:00:00"/>
    <x v="0"/>
    <s v="SDE-UC-00993-26"/>
    <s v=" AEEH/DG/591/2026, DE FECHA 30/06/2026, ENVIADO AL ING. OCTAVIO GÓMEZ PAULIN, COORDINADOR DE GESTIÓN INSTITUCIONAL. _x000a_"/>
    <x v="2"/>
    <s v="N/A"/>
    <s v="N/A"/>
    <s v="N/A"/>
    <m/>
    <m/>
    <m/>
    <m/>
    <s v="DELEGADO (A) MUNICIPAL "/>
    <x v="0"/>
    <x v="1"/>
    <s v="81 ZACUALTIPÁN DE ÁNGELES"/>
    <s v="SAN MIGUEL FERRERÍA  "/>
    <s v="MASCULINO "/>
    <s v="55 45 33 81 78 "/>
    <m/>
    <n v="1"/>
    <m/>
    <m/>
    <s v="GOLFO CENTRO"/>
    <s v="ZONA HUEJUTLA "/>
  </r>
  <r>
    <n v="9"/>
    <s v="511"/>
    <x v="3"/>
    <d v="2026-06-17T00:00:00"/>
    <s v="SEDECO/CGI/TI/0760/2026_x000a_SDPEE/DGAP/3962/2026"/>
    <s v="AEEH-2*1S.1/01-2026_x000a_ASESORIAS EN MATERIA ENERGÉTICA (VARIOS MUNICIPIOS)"/>
    <s v="ATENDER A MARÍA CRISTINA PÉREZ HERNÁNDEZ, QUIEN SOLICITA MEDIACIÓN CON CFE, ANTE MULTA IMPUESTA POR CANCELACIÓN DE SERVICIO."/>
    <s v="ARQ. DIEGO"/>
    <s v="ALTO"/>
    <d v="2026-06-18T00:00:00"/>
    <x v="0"/>
    <s v="SDE-UC-01018-26"/>
    <s v=" AEEH/DG/592/2026, DE FECHA 30/06/2026, ENVIADO AL ING. OCTAVIO GÓMEZ PAULIN, COORDINADOR DE GESTIÓN INSTITUCIONAL. _x000a_"/>
    <x v="2"/>
    <s v="N/A"/>
    <s v="N/A"/>
    <s v="N/A"/>
    <m/>
    <m/>
    <m/>
    <m/>
    <s v="CIUDADANO (A)"/>
    <x v="0"/>
    <x v="6"/>
    <s v="38 MINERAL DEL CHICO"/>
    <s v="CAPULA "/>
    <s v="FEMENINO "/>
    <s v="771 760 3516"/>
    <m/>
    <n v="1"/>
    <m/>
    <m/>
    <s v="CENTRO ORIENTE"/>
    <s v="ZONA PACHUCA"/>
  </r>
  <r>
    <n v="10"/>
    <s v="516"/>
    <x v="3"/>
    <d v="2026-06-17T00:00:00"/>
    <s v="SEDECO/CGI/TI/0761/2026_x000a_SDPEE/DGAP/3937/2026"/>
    <s v="AEEH-2*1S.1/01-2026_x000a_ASESORIAS EN MATERIA ENERGÉTICA (VARIOS MUNICIPIOS)"/>
    <s v="ATENDER A FIDENCIA SIERRA PEREZ, QUIEN SOLICITA LA INTRODUCCIÓN DEL SERVICIO DE ENERGÍA ELÉCTRICA "/>
    <s v="ING. FRANCISCO"/>
    <s v="ALTO"/>
    <d v="2026-06-18T00:00:00"/>
    <x v="0"/>
    <s v="SDE-UC-01016-26"/>
    <s v=" AEEH/DG/593/2026, DE FECHA 30/06/2026, ENVIADO AL ING. OCTAVIO GÓMEZ PAULIN, COORDINADOR DE GESTIÓN INSTITUCIONAL. _x000a_"/>
    <x v="2"/>
    <s v="N/A"/>
    <s v="N/A"/>
    <s v="N/A"/>
    <m/>
    <m/>
    <m/>
    <m/>
    <s v="CIUDADANO (A)"/>
    <x v="0"/>
    <x v="2"/>
    <s v="56 SANTIAGO TULANTEPEC DE LUGO GUERRERO"/>
    <s v="ALTEPEMILA"/>
    <s v="FEMENINO "/>
    <s v="775 260 0224"/>
    <m/>
    <n v="1"/>
    <m/>
    <m/>
    <s v="CENTRO ORIENTE"/>
    <s v="ZONA TULANCINGO"/>
  </r>
  <r>
    <n v="11"/>
    <s v="512"/>
    <x v="3"/>
    <d v="2026-06-17T00:00:00"/>
    <s v="SEDECO/CGI/TI/0762/2026_x000a_SDPEE/DGAP/3991/2026"/>
    <s v="AEEH-2*1S.1/01-2026_x000a_ASESORIAS EN MATERIA ENERGÉTICA (VARIOS MUNICIPIOS)"/>
    <s v="ATENDER A RICARDO GRANADOS MEDINA, QUIEN SOLICITA APOYO PARA INSTALACIÓN DE ALUMBRADO PÚBLICO EN SU FRACCIONMIENTO "/>
    <s v="ING. FRANCISCO"/>
    <s v="ALTO"/>
    <d v="2026-06-18T00:00:00"/>
    <x v="0"/>
    <s v="SDE-UC-01017-26"/>
    <s v=" AEEH/DG/594/2026, DE FECHA 30/06/2026, ENVIADO AL ING. OCTAVIO GÓMEZ PAULIN, COORDINADOR DE GESTIÓN INSTITUCIONAL. _x000a_"/>
    <x v="2"/>
    <s v="N/A"/>
    <s v="N/A"/>
    <s v="N/A"/>
    <m/>
    <m/>
    <m/>
    <m/>
    <s v="CIUDADANO (A)"/>
    <x v="0"/>
    <x v="1"/>
    <s v="51 MINERAL DE LA REFORMA"/>
    <s v="PRADERAS DE VIRREYES"/>
    <s v="MASCULINO "/>
    <s v="55 45 90 0874"/>
    <m/>
    <n v="1"/>
    <m/>
    <m/>
    <s v="CENTRO ORIENTE"/>
    <s v="ZONA PACHUCA"/>
  </r>
  <r>
    <n v="12"/>
    <s v="513"/>
    <x v="3"/>
    <d v="2026-06-17T00:00:00"/>
    <s v="SEDECO/CGI/TI/0763/2026_x000a_SDPEE/DGAP/3993/2026"/>
    <s v="AEEH-2*1S.1/01-2026_x000a_ASESORIAS EN MATERIA ENERGÉTICA (VARIOS MUNICIPIOS)"/>
    <s v="ATENDER A JOSE SIERRA CASTELÁN, QUIEN SOLICITA LA AMPLIACIÓN DE RED ELECTRICA EN SU COMUNIDAD "/>
    <s v="ING. FRANCISCO"/>
    <s v="ALTO"/>
    <d v="2026-06-18T00:00:00"/>
    <x v="0"/>
    <s v=" SDE-UC-01019-26"/>
    <s v=" AEEH/DG/595/2026, DE FECHA 30/06/2026, ENVIADO AL ING. OCTAVIO GÓMEZ PAULIN, COORDINADOR DE GESTIÓN INSTITUCIONAL. _x000a_"/>
    <x v="2"/>
    <s v="N/A"/>
    <s v="N/A"/>
    <s v="N/A"/>
    <m/>
    <m/>
    <m/>
    <m/>
    <s v="CIUDADANO (A)"/>
    <x v="0"/>
    <x v="2"/>
    <s v="56 SANTIAGO TULANTEPEC DE LUGO GUERRERO"/>
    <s v="COL. LOS ROMEROS "/>
    <s v="MASCULINO "/>
    <s v="55 12 44 77 85"/>
    <m/>
    <n v="1"/>
    <m/>
    <m/>
    <s v="CENTRO ORIENTE"/>
    <s v="ZONA TULANCINGO"/>
  </r>
  <r>
    <n v="13"/>
    <s v="514"/>
    <x v="3"/>
    <d v="2026-06-17T00:00:00"/>
    <s v="SEDECO/CGI/TI/0764/2026_x000a_SDPEE/DGAP/3998/2026"/>
    <s v="AEEH-2*1S.1/01-2026_x000a_ASESORIAS EN MATERIA ENERGÉTICA (VARIOS MUNICIPIOS)"/>
    <s v="ATENDER A LA C. EVA JAZMIN GONZÁLEZ GONZÁLEZ, QUIEN SOLICITA EL SERVICIO DE ENERGÍA ELÉCTRICA PARA 30 VIVIENDAS DE SU LOCALIDAD  "/>
    <s v="ING. FRANCISCO"/>
    <s v="ALTO"/>
    <d v="2026-06-18T00:00:00"/>
    <x v="0"/>
    <s v="SDE-UC-01020-26"/>
    <s v=" AEEH/DG/596/2026, DE FECHA 30/06/2026, ENVIADO AL ING. OCTAVIO GÓMEZ PAULIN, COORDINADOR DE GESTIÓN INSTITUCIONAL. _x000a_"/>
    <x v="2"/>
    <s v="N/A"/>
    <s v="N/A"/>
    <s v="N/A"/>
    <m/>
    <m/>
    <m/>
    <m/>
    <s v="CIUDADANO (A)"/>
    <x v="0"/>
    <x v="2"/>
    <s v="56 SANTIAGO TULANTEPEC DE LUGO GUERRERO"/>
    <s v="SAN FRANCISCO HUATENGO "/>
    <s v="FEMENINO "/>
    <s v="775 235 8855"/>
    <m/>
    <n v="1"/>
    <m/>
    <m/>
    <s v="CENTRO ORIENTE"/>
    <s v="ZONA TULANCINGO"/>
  </r>
  <r>
    <n v="14"/>
    <s v="515"/>
    <x v="3"/>
    <d v="2026-06-17T00:00:00"/>
    <s v="SEDECO/CGI/TI/0765/2026_x000a_SDPEE/DGAP/4000/2026"/>
    <s v="AEEH-2*1S.1/01-2026_x000a_ASESORIAS EN MATERIA ENERGÉTICA (VARIOS MUNICIPIOS)"/>
    <s v="ATENDER A LA C. MARÍA DEL CARMEN RIVERA MARTÍNEZ, QUIEN SOLICITA LA AMPLIACIÓN DE RED DE ENERGÍA ELECTRICA EN SU LOCALIDAD "/>
    <s v="ING. FRANCISCO"/>
    <s v="ALTO"/>
    <d v="2026-06-18T00:00:00"/>
    <x v="0"/>
    <s v="SDE-UC-01021-26"/>
    <s v=" AEEH/DG/597/2026, DE FECHA 30/06/2026, ENVIADO AL ING. OCTAVIO GÓMEZ PAULIN, COORDINADOR DE GESTIÓN INSTITUCIONAL. _x000a_"/>
    <x v="2"/>
    <s v="N/A"/>
    <s v="N/A"/>
    <s v="N/A"/>
    <m/>
    <m/>
    <m/>
    <m/>
    <s v="CIUDADANO (A)"/>
    <x v="0"/>
    <x v="2"/>
    <s v="16 CUAUTEPEC DE HINOJOSA"/>
    <s v="TEPANTITLA "/>
    <s v="FEMENINO "/>
    <s v="775 141 6197"/>
    <m/>
    <n v="1"/>
    <m/>
    <m/>
    <s v="CENTRO ORIENTE"/>
    <s v="ZONA TULANCINGO"/>
  </r>
  <r>
    <n v="15"/>
    <s v="386"/>
    <x v="4"/>
    <d v="2026-05-07T00:00:00"/>
    <s v="SEDECO/CGI/0158/2026"/>
    <s v="AEEH-2*1S/08-2026_x000a_SOLICITUDES DE LA DIRECCIÓN DE ATENCIÓN AL PUEBLO  "/>
    <s v="INVITACIÓN PARA ASISTIR A REUNIONES TRIMETRALES CON LA DIRECCIÓN DE ATENCIÓN AL PUEBLO "/>
    <s v="ARQ. ORLANDO"/>
    <s v="BAJO"/>
    <d v="2026-05-07T00:00:00"/>
    <x v="0"/>
    <s v="SDE-CGI-00265-26"/>
    <s v=" DE CONOCIMIENTO "/>
    <x v="2"/>
    <s v="N/A"/>
    <s v="N/A"/>
    <s v="N/A"/>
    <s v="N/A"/>
    <s v="N/A"/>
    <s v="N/A"/>
    <s v="N/A"/>
    <s v="DEPENDENCIA ESTATAL "/>
    <x v="1"/>
    <x v="4"/>
    <m/>
    <m/>
    <m/>
    <m/>
    <m/>
    <n v="1"/>
    <n v="1"/>
    <n v="0"/>
    <s v="N/A"/>
    <s v="N/A"/>
  </r>
  <r>
    <n v="16"/>
    <s v="021"/>
    <x v="5"/>
    <d v="2026-01-21T00:00:00"/>
    <s v="SEDECO/CGI/0013/2026"/>
    <s v="AEEH-2*1S/08-2026_x000a_SOLICITUDES DE LA DIRECCIÓN DE ATENCIÓN AL PUEBLO  "/>
    <s v="DESIGNAR UN ENLACE PARA EL SEGUIMIENTO Y RESOLUCIÓN DE LAS SOLICITUDES DE LA DIRECCIÓN DE ATENCIÓN AL PUEBLO "/>
    <s v="LIC. ARELI"/>
    <s v="BAJO"/>
    <d v="2026-01-21T00:00:00"/>
    <x v="0"/>
    <s v="SDE-CGI-00202-26"/>
    <s v="AEEH/DG/052/2026, DE FECHA 23/01/2026, ENVIADO AL ING. OCTAVIO GÓMEZ PAULIN, COORDINADOR DE GESTIÓN INSTITUCIONAL "/>
    <x v="2"/>
    <s v="N/A"/>
    <s v="N/A"/>
    <s v="N/A"/>
    <s v="N/A"/>
    <s v="N/A"/>
    <s v="N/A"/>
    <s v="N/A"/>
    <s v="DEPENDENCIA ESTATAL "/>
    <x v="1"/>
    <x v="4"/>
    <m/>
    <m/>
    <s v="MASCULINO "/>
    <s v="771 688 6026"/>
    <s v="octavio.gomez@hidalgo.gob.mx"/>
    <n v="1"/>
    <n v="1"/>
    <n v="0"/>
    <s v="N/A"/>
    <s v="N/A"/>
  </r>
  <r>
    <n v="17"/>
    <s v="039"/>
    <x v="5"/>
    <d v="2026-01-20T00:00:00"/>
    <s v="UPLAPH/COEMERE/013/2026"/>
    <s v="AEEH-2*1S/04-2026 _x000a_MEJORA REGULATORIA "/>
    <s v="LA COEMERE SOLICITA ELABORAR LA ACTUALIZACIÓN DEL CIERRE DEL PROGRAMA ANUAL DE MEJORA REGULATORIA 2025 EN LA PLATAFORMA AID-RUTS"/>
    <s v="LIC. ARELI_x000a_ING. FRANCISCO"/>
    <s v="ALTO"/>
    <d v="2026-01-21T00:00:00"/>
    <x v="0"/>
    <s v="N/A"/>
    <s v="AEEH/DG/055/2026, DE FECHA 26/01/2026, ENVIADO AL MTRO. ANDRÉS MANNING NOVALES, TITULAR DE LA COEMERE "/>
    <x v="2"/>
    <s v="N/A"/>
    <s v="N/A"/>
    <s v="N/A"/>
    <s v="N/A"/>
    <s v="N/A"/>
    <s v="N/A"/>
    <s v="N/A"/>
    <s v="DEPENDENCIA ESTATAL "/>
    <x v="1"/>
    <x v="4"/>
    <m/>
    <m/>
    <s v="MASCULINO "/>
    <s v="771 715 6672"/>
    <s v="dependencias.coemere@hidalgo.gob.mx"/>
    <n v="1"/>
    <n v="1"/>
    <n v="0"/>
    <s v="N/A"/>
    <s v="N/A"/>
  </r>
  <r>
    <n v="18"/>
    <s v="562"/>
    <x v="6"/>
    <d v="2026-07-08T00:00:00"/>
    <s v="CENACE/DOPS/354/2026"/>
    <s v="SANDY "/>
    <s v="CENACE EMITE INVITACIÓN A PARTICIPAR EN REUNIONES DEL PROCESO DE ELABORACIÓN DEL PRONÓSTICO DE DEMANDA Y CONSUMO DE ENERGÍA ELECTRICA 2027 - 2041"/>
    <s v="ING. SANDRA"/>
    <s v="ALTO"/>
    <d v="2026-07-08T00:00:00"/>
    <x v="0"/>
    <s v="SDE-AEEH-00406-26"/>
    <s v="AEEH/DG/0650/2026, DE FECHA 09/07/2026, ENVIADO AL ING. MAURICIO CUÉLLAR AHUMADA, SUBGERENTE DE OPERACIÓN Y DESPACHO DE LA GERENCIA DEL CENTRO NACIONAL Y ENCARGADO DE LA DIRECCIPON DE OPERACIÓN Y PLANEACIÓN DEL SISTEMA._x000a_AEEH/DG/0651/2026, DE FECHA 09/07/2026, ENVIADO AL ING. CINTHYA YARELY MEZA CORTÉS, DIRECTORA GENERAL DE LA AGENCIA DE DESARROLLO VALLE DE PLATA, DIO RESPUESTA CON TURNO 586 Y OFICIO ADVP/330/2026._x000a_AEEH/DG/0653/2026, DE FECHA 09/07/2026, ENVIADO AL MTRO. ERNESTO CADENA ACOSTA, SUBSECRETARIO DE INVERSIONES Y ECONOMÍA SECTORIAL, DIO RESPUESTA CON TURNO 587 Y OFICIO SEDECO/SIyES/109/2026. "/>
    <x v="2"/>
    <s v="N/A"/>
    <s v="N/A"/>
    <s v="N/A"/>
    <s v="N/A"/>
    <s v="N/A"/>
    <s v="N/A"/>
    <s v="N/A"/>
    <s v="DEPENDENCIA FEDERAL  "/>
    <x v="1"/>
    <x v="4"/>
    <m/>
    <m/>
    <m/>
    <m/>
    <m/>
    <n v="1"/>
    <n v="1"/>
    <n v="0"/>
    <s v="N/A"/>
    <s v="N/A"/>
  </r>
  <r>
    <n v="19"/>
    <s v="089"/>
    <x v="0"/>
    <d v="2026-02-04T00:00:00"/>
    <s v="UPLAPH/COEMERE/105/2026"/>
    <s v="AEEH-2*1S/04-2026 _x000a_MEJORA REGULATORIA "/>
    <s v="DESIGNACIÓN O RATIFICACIÓN DE LOS ENLACES ANTE LA COMISIÓN DE MEJORA REGULATORIA "/>
    <s v="LIC. ARELI"/>
    <s v="ALTO"/>
    <d v="2026-02-04T00:00:00"/>
    <x v="0"/>
    <s v="N/A"/>
    <s v="AEEH/DG/077/2026, DE FECHA 05/02/2026, ENVIADO AL MTRO. ANDRÉS MANNING NOVALES_x000a_AEEH/DG/085-1/2026, DE FECHA 06/02/2026, ENVIADO A ARQ. ORLANDO MARTÍNEZ JUÁREZ_x000a_AEEH/DG/085-2/2026, DE FECHA 06/02/2026, ENVIADO A ING. FRANCISCO JAVIER GARCÍA VILLALPA_x000a_AEEH/DG/085-3/2026, DE FECHA 06/02/2026, ENVIADO A LIC. EVA BERENICE RAMÍREZ PÉREZ_x000a_AEEH/DG/085-4/2026, DE FECHA 06/02/2026, ENVIADO A LIC. CARLOS LÓPEZ ESPINOSA"/>
    <x v="2"/>
    <s v="N/A"/>
    <s v="N/A"/>
    <s v="N/A"/>
    <s v="N/A"/>
    <s v="N/A"/>
    <s v="N/A"/>
    <s v="N/A"/>
    <s v="DEPENDENCIA ESTATAL "/>
    <x v="1"/>
    <x v="4"/>
    <m/>
    <m/>
    <s v="MASCULINO "/>
    <s v="771 715 6672"/>
    <s v="dependencias.coemere@hidalgo.gob.mx"/>
    <n v="1"/>
    <n v="1"/>
    <n v="0"/>
    <s v="N/A"/>
    <s v="N/A"/>
  </r>
  <r>
    <n v="20"/>
    <s v="624"/>
    <x v="6"/>
    <d v="2026-07-29T00:00:00"/>
    <s v="UPLAPH/COEMERE/236/2026"/>
    <m/>
    <s v="LA COMISIÓN ESTATAL DE MEJORA REGULATORIA SOLICITA REQUISITAR EL FORMATO CORRESPONDIENTE AL CENSO NACIONAL DE GOBIERNOS ESTATALES 2026, COORDINADO POR EL INEGI, EN LO REFERENTE A TRÁMITES Y SERVICIOS DE LA AGENCIA "/>
    <s v="ARQ. ORLANDO _x000a_LIC. ARELI "/>
    <s v="ALTO"/>
    <d v="2026-07-29T00:00:00"/>
    <x v="0"/>
    <s v="N/A"/>
    <s v="AEEH/DG/0773/2026, DE FECHA 10/08/2026, ENVIADO AL MTRO. ANDRÉS MANNING NOVALES, TITULAR DE LA COEMERE "/>
    <x v="2"/>
    <s v="N/A"/>
    <s v="N/A"/>
    <s v="N/A"/>
    <s v="N/A"/>
    <s v="N/A"/>
    <s v="N/A"/>
    <s v="N/A"/>
    <s v="DEPENDENCIA ESTATAL "/>
    <x v="1"/>
    <x v="4"/>
    <m/>
    <m/>
    <m/>
    <m/>
    <m/>
    <n v="1"/>
    <m/>
    <m/>
    <s v="N/A"/>
    <s v="N/A"/>
  </r>
  <r>
    <n v="21"/>
    <s v="662"/>
    <x v="7"/>
    <d v="2026-08-10T00:00:00"/>
    <s v="SEMARNATH/DESP/SSyCC/DGCC/000386/2026"/>
    <s v="AEEH-2*1S.4/07-2026_x000a_PROGRAMA ESTATAL DE ACCIÓN ANTE EL CAMBIO CLIMATICO DE HIDALGO / COMISIÓN ESTATAL INTERSECTORIAL DEL CAMBIO CLIMATICO "/>
    <s v="INVITACIÓN A REUNIÓN VIRTUAL EL 12 DE AGOSTO PARA LA VALIDACIÓN DE FICHAS DEL PROGRAMA ESTATAL DE ACCIÓN ANTE EL CAMBIO CLIMATICO DEL ESTADO DE HIDALGO (PEACCH)"/>
    <s v="ARQ. DIEGO"/>
    <s v="MEDIO"/>
    <d v="2026-08-10T00:00:00"/>
    <x v="0"/>
    <s v="SDE-AEEH-00425-26"/>
    <s v="AEEH/DG/0781/2026, DE FECHA 13/08/2026, ENVIADO A LA MTRA. MONICA PATRICIA MIXTEGA TREJO, SECRETARIA DE LA SEMARNATH "/>
    <x v="2"/>
    <s v="N/A"/>
    <s v="N/A"/>
    <s v="N/A"/>
    <s v="N/A"/>
    <s v="N/A"/>
    <s v="N/A"/>
    <s v="N/A"/>
    <s v="DEPENDENCIA ESTATAL "/>
    <x v="1"/>
    <x v="4"/>
    <m/>
    <m/>
    <s v="FEMENINO "/>
    <m/>
    <m/>
    <n v="1"/>
    <n v="1"/>
    <m/>
    <s v="N/A"/>
    <s v="N/A"/>
  </r>
  <r>
    <n v="22"/>
    <s v="658"/>
    <x v="7"/>
    <d v="2026-08-11T00:00:00"/>
    <s v="SEDECO/CGI/TI/0983/2026_x000a_SDPEE/DGAP/5398/2026"/>
    <s v="DIEGO "/>
    <s v="ATENDER A MARTINIANO MARTÍNEZ BAUTISTA, QUIEN SOLICITA LA AMPLIACIÓN DE LA RED DE ENERGÍA ELECTRICA (4 POSTES)"/>
    <s v="ARQ. DIEGO"/>
    <s v="ALTO"/>
    <d v="2026-08-11T00:00:00"/>
    <x v="0"/>
    <s v="SDE-UC-01506-26"/>
    <s v="AEEH/DG/0795/2026, DE FECHA 12/08/2026, ENVIADO AL ING. OCTAVIO GÓMEZ PAULIN, COORDINADOR DE GESTIÓN INSTITUCIONAL "/>
    <x v="0"/>
    <s v="AEEH/DG/0832/2026, DE FECHA 18/08/2026, ENVIADO AL ING. HUGO ALEJANDRO ABUNDIS GONZALEZ, SUPERINTENDENTE DE LA COMISIÓN FEDERAL DE LECTRICIDAD ZONA HUEJUTLA "/>
    <s v="N/A"/>
    <s v="N/A"/>
    <m/>
    <m/>
    <m/>
    <m/>
    <s v="CIUDADANO (A)"/>
    <x v="0"/>
    <x v="2"/>
    <s v="14 CALNALI"/>
    <m/>
    <s v="MASCULINO "/>
    <m/>
    <m/>
    <n v="1"/>
    <n v="1"/>
    <m/>
    <s v="GOLFO CENTRO"/>
    <s v="ZONA HUEJUTLA "/>
  </r>
  <r>
    <n v="23"/>
    <s v="668"/>
    <x v="7"/>
    <d v="2026-08-11T00:00:00"/>
    <s v="SEDECO/CGI/TI/0992/2026_x000a_SDPEE/DGAP/5460/2026"/>
    <s v="DIEGO "/>
    <s v="ATENDER A ESTANISLAO OCAÑA PEREZ, QUIEN SOLICITA APOYO PARA LA ATENCIÓN A PROBLEMÁTICA TERRITORIAL QUE IMPIDE LA AMPLIACIÓN DE RED ELECTRICA."/>
    <s v="ARQ. DIEGO"/>
    <s v="ALTO"/>
    <d v="2026-08-11T00:00:00"/>
    <x v="0"/>
    <s v="SDE-UC-01523-26"/>
    <s v="AEEH/DG/0796/2026, DE FECHA 12/08/2026, ENVIADO AL ING. OCTAVIO GÓMEZ PAULIN, COORDINADOR DE GESTIÓN INSTITUCIONAL "/>
    <x v="2"/>
    <s v="N/A"/>
    <s v="N/A"/>
    <s v="N/A"/>
    <m/>
    <m/>
    <m/>
    <m/>
    <s v="CIUDADANO (A)"/>
    <x v="0"/>
    <x v="2"/>
    <s v="30 IXMIQUILPAN"/>
    <s v="CERRO BLANCO "/>
    <s v="MASCULINO "/>
    <m/>
    <m/>
    <n v="1"/>
    <n v="1"/>
    <m/>
    <s v="DIVISION BAJIO"/>
    <s v="ZONA IXMIQUILPAN"/>
  </r>
  <r>
    <n v="24"/>
    <s v="023"/>
    <x v="5"/>
    <d v="2026-01-23T00:00:00"/>
    <s v="SDG/DGAP/119/2026_x000a_SEDECO/CGI/TI/0028/2026"/>
    <s v="AEEH-2*1S.1/01-2026_x000a_ASESORIAS EN MATERIA ENERGÉTICA (VARIOS MUNICIPIOS)"/>
    <s v="SOLICITA SE LE DE ATENCIÓN AL C. EDUARDO MONTES CUELLAR , QUIEN SOLICITA APOYO PARA DAR CONTINUIDAD A LA AMPLIACIÓN DE RED ELÉCTRICA DE SU CALLE "/>
    <s v="ING. FRANCISCO"/>
    <s v="MEDIO"/>
    <d v="2026-01-26T00:00:00"/>
    <x v="0"/>
    <s v="SDE-UCC-07558-26"/>
    <s v="AEEH/DG/080/2026, DE FECHA 05/02/2026, ENVIADO AL ING. OCTAVIO GÓMEZ PAULIN, COORDINADOR DE GESTIÓN INSTITUCIONAL _x000a_CERRADA"/>
    <x v="1"/>
    <s v="N/A"/>
    <s v="N/A"/>
    <s v="N/A"/>
    <s v="N/A"/>
    <s v="N/A"/>
    <s v="N/A"/>
    <s v="N/A"/>
    <s v="CIUDADANO (A)"/>
    <x v="0"/>
    <x v="2"/>
    <s v="58 TASQUILLO"/>
    <s v="LA NUEZ"/>
    <s v="MASCULINO "/>
    <s v="772 119 5254"/>
    <m/>
    <n v="1"/>
    <n v="26"/>
    <n v="104"/>
    <s v="DIVISION BAJIO"/>
    <s v="ZONA IXMIQUILPAN"/>
  </r>
  <r>
    <n v="25"/>
    <s v="635"/>
    <x v="7"/>
    <d v="2026-08-04T00:00:00"/>
    <s v="SEDECO/SIyES/TI/104/2026"/>
    <s v="DIEGO "/>
    <s v="SUBSECRETARIA DE INVERSIONES Y ECONOMIA SECTORIAL, SOLICITA REVISIÓN DE UGAS DE LA INDUSTRIA ENERGETICA, PARA DAR CUMPLIMIENTO AL PROGRAMA DE ORDENAMIENTO ECOLOGICO LOCAL PARTICIPATIVO( POELP) PACHUCA DE SOTO "/>
    <s v="ARQ. DIEGO"/>
    <s v="ALTO"/>
    <d v="2026-07-29T00:00:00"/>
    <x v="0"/>
    <s v="SDE-SIES-00347-26"/>
    <s v="AEEH/DG/0805/2026, DE FECHA 14/08/2026, ENVIADO AL ARQ. ERNESTO CADENA ACOSTA SUBSECRETARIO DE INVERSIONES Y ECONOMÍA SECTORIAL DE LA SECRETARÍA DE DESARROLLO ECONÓMICO (SEDECO)_x000a_NO SE CARGO EN SIGA PORQUE VENCIÓ EL PERIODO, SE ENVÍO POR CORREO ELECTRÓNICO Y SE ENTREGO EN LA SUBSECRETARIA  "/>
    <x v="2"/>
    <s v="N/A"/>
    <s v="N/A"/>
    <s v="N/A"/>
    <s v="N/A"/>
    <s v="N/A"/>
    <s v="N/A"/>
    <s v="N/A"/>
    <s v="DEPENDENCIA ESTATAL "/>
    <x v="1"/>
    <x v="4"/>
    <m/>
    <m/>
    <m/>
    <m/>
    <m/>
    <n v="1"/>
    <n v="1"/>
    <m/>
    <s v="N/A"/>
    <s v="N/A"/>
  </r>
  <r>
    <n v="26"/>
    <s v="620"/>
    <x v="7"/>
    <d v="2026-08-04T00:00:00"/>
    <s v="SEDECO/CGI/TI/0936/2026_x000a_SDPEE/DGAP/5123/2026"/>
    <s v="SANDRA "/>
    <s v="ATENDER A FRANCISCO ZARATE HERNANDEZ, SOLICITA INTERVENCION CON CFE PARA LA AMPLIACION DE RED DE ENERGIA ELECTRICA EN SU LOCALIDAD. "/>
    <s v="ING. SANDRA"/>
    <s v="ALTO"/>
    <d v="2026-07-29T00:00:00"/>
    <x v="0"/>
    <s v="SDE-UC-01401-26"/>
    <s v="AEEH/DG/0809/2026, DE FECHA 14/08/2026, ENVIADO AL ING. OCTAVIO GOMEZ PAULIN, COORDINADOR DE GESTIÓN INSTICUCIONAL"/>
    <x v="0"/>
    <s v="AEEH/DG/0826/2026, DE FECHA 18/08/2026, ENVIADO AL ING. HUGO ALEJANDRO ABUNDIS GONZALEZ, SUPERINTENDENTE DE LA COMISIÓN FEDERAL DE LECTRICIDAD ZONA HUEJUTLA "/>
    <s v="N/A"/>
    <s v="N/A"/>
    <m/>
    <m/>
    <m/>
    <m/>
    <s v="CIUDADANO (A)"/>
    <x v="0"/>
    <x v="2"/>
    <s v="25 HUAUTLA"/>
    <s v="ACATEPEC"/>
    <s v="MASCULINO "/>
    <m/>
    <m/>
    <n v="1"/>
    <n v="1"/>
    <m/>
    <s v="GOLFO CENTRO"/>
    <s v="ZONA HUEJUTLA "/>
  </r>
  <r>
    <n v="27"/>
    <s v="616"/>
    <x v="7"/>
    <d v="2026-08-04T00:00:00"/>
    <s v="SEDECO/CGI/TI/0930/2026_x000a_SDPEE/DGAP/5066/2026"/>
    <s v="SANDRA "/>
    <s v="ATENDER A LIZBET MARILU RESENDIZ OSORIO, SOLICITA LA INTRODUCCIÓN DE ENERGIA ELECTRICA QUE BENEFICIARA A 37 VECINOS DE LA LOCALIDAD. "/>
    <s v="ING. SANDRA"/>
    <s v="ALTO"/>
    <d v="2026-07-29T00:00:00"/>
    <x v="0"/>
    <s v="SDE-UC-01377-26"/>
    <s v="AEEH/DG/0810/2026, DE FECHA 14/08/2026, ENVIADO AL ING. OCTAVIO GOMEZ PAULIN, COORDINADOR DE GESTIÓN INSTITUCIONAL. _x000a_AEEH/DPIE/077/2026, DE FECHA 24/08/2026, ENVIADO A LA MAP. MARIA GUADALUPE OLGUÍN ROMERO, DIRECTORA DE ACCIONES SOCIALES PARA LA JUSTICIA ENERGÉTICA."/>
    <x v="0"/>
    <s v="AEEH/DG/0824/2026, DE FECHA 18/08/2026, ENVIADO AL ING. JOSE LUIS FRANCISCO CRAVIOTO, SUPERINTENDENTE GENERAL E.F. DE LA COMISIÓN FEDERAL DE LECTRICIDAD ZONA IXMIQUILPNA "/>
    <s v="N/A"/>
    <s v="N/A"/>
    <m/>
    <m/>
    <m/>
    <m/>
    <s v="CIUDADANO (A)"/>
    <x v="0"/>
    <x v="2"/>
    <s v="18 CHAPULHUACÁN"/>
    <s v="EL CHINILLAR"/>
    <s v="FEMENINO "/>
    <m/>
    <m/>
    <n v="1"/>
    <n v="1"/>
    <m/>
    <s v="DIVISION BAJIO"/>
    <s v="ZONA IXMIQUILPAN"/>
  </r>
  <r>
    <n v="28"/>
    <s v="615"/>
    <x v="7"/>
    <d v="2026-08-04T00:00:00"/>
    <s v="SEDECO/CGI/TI/0929/2026_x000a_SDPEE/DGAP/5044/2026"/>
    <s v="SANDRA "/>
    <s v="ATENDER A FLAVIO HERNANDEZ HERNANDEZ, SOLICITA SERVICIO DE ENERGIA ELECTRICA EN SU LOCALIDAD "/>
    <s v="ING. SANDRA"/>
    <s v="ALTO"/>
    <d v="2026-07-29T00:00:00"/>
    <x v="0"/>
    <s v="SDE-UC-01369-26"/>
    <s v="AEEH/DG/0811/2026, DE FECHA 14/08/2026, ENVIADO AL ING. OCTAVIO GOMEZ PAULIN, COORDINADOR DE GESTIÓN INSTITUCIONAL._x000a_AEEH/DPIE/076/2026, DE FECHA 20/08/2026, ENVIADO A LA MAP. MARIA GUADALUPE OLGUÍN ROMERO, DIRECTORA DE ACCIONES SOCIALES PARA LA JUSTICIA ENERGÉTICA."/>
    <x v="0"/>
    <s v="AEEH/DG/0823/2026, DE FECHA 18/08/2026, ENVIADO AL ING. JOSE LUIS FRANCISCO CRAVIOTO, SUPERINTENDENTE GENERAL E.F. DE LA COMISIÓN FEDERAL DE LECTRICIDAD ZONA IXMIQUILPAN"/>
    <s v="N/A"/>
    <s v="N/A"/>
    <m/>
    <m/>
    <m/>
    <m/>
    <s v="CIUDADANO (A)"/>
    <x v="0"/>
    <x v="2"/>
    <s v="18 CHAPULHUACÁN"/>
    <s v="PUERTO DEL TAMBOR"/>
    <s v="MASCULINO "/>
    <m/>
    <m/>
    <n v="1"/>
    <n v="1"/>
    <m/>
    <s v="DIVISION BAJIO"/>
    <s v="ZONA IXMIQUILPAN"/>
  </r>
  <r>
    <n v="29"/>
    <s v="619"/>
    <x v="7"/>
    <d v="2026-08-04T00:00:00"/>
    <s v="SEDECO/CGI/TI/0935/2026_x000a_SDPEE/DGAP/5101/2026"/>
    <s v="SANDRA "/>
    <s v="ATENDER A FRANCISCO ZARATE HERNANDEZ, SOLICITA ALUMBRADO PUBLICO EN CALLES CERCANAS AL CENTRO DE SALUD"/>
    <s v="ING. SANDRA"/>
    <s v="ALTO"/>
    <d v="2026-07-29T00:00:00"/>
    <x v="0"/>
    <s v="SDE-UC-01399-26"/>
    <s v="AEEH/DG/0812/2026, DE FECHA 14/08/2026, ENVIADO AL ING. OCTAVIO GOMEZ PAULIN, COORDINADOR DE GESTIÓN INSTITUCIONAL "/>
    <x v="2"/>
    <s v="N/A"/>
    <s v="N/A"/>
    <s v="N/A"/>
    <s v="SI"/>
    <s v="AEEH/DG/0861/2026, DE FECHA 24/08/2026, ENVIADO AL ING. JORGE ALBERTO HERNANDEZ CORTÉS, PRESIDENTE MUNICIPAL DE HUAUTLA"/>
    <m/>
    <m/>
    <s v="CIUDADANO (A)"/>
    <x v="0"/>
    <x v="1"/>
    <s v="25 HUAUTLA"/>
    <s v="ACATEPEC"/>
    <s v="MASCULINO "/>
    <m/>
    <m/>
    <n v="1"/>
    <n v="1"/>
    <m/>
    <s v="GOLFO CENTRO"/>
    <s v="ZONA HUEJUTLA "/>
  </r>
  <r>
    <n v="30"/>
    <s v="656"/>
    <x v="7"/>
    <d v="2026-08-11T00:00:00"/>
    <s v="SEDECO/CGI/TI/0981/2026_x000a_SDPEE/DGAP/5385/2026"/>
    <s v="SANDY "/>
    <s v="ATENDER A DIANA SANCHEZ RODRIGUEZ, SOLICITA APOYO CON EL REACOMODO DE LOS CABLES DE LUZ QUE SE ENCUENTRAN CERCA DE SU DOMICILIO."/>
    <s v="ING. SANDRA"/>
    <s v="ALTO"/>
    <d v="2026-08-11T00:00:00"/>
    <x v="0"/>
    <s v="SDE-UC-01508-26"/>
    <s v="AEEH/DG/0813/2026, DE FECHA 14/08/2026, ENVIADO AL ING. OCTAVIO GOMEZ PAULIN, COORDINADOR DE GESTIÓN INSTICUCIONAL"/>
    <x v="0"/>
    <s v="AEEH/DG/0825/2026, DE FECHA 18/08/2026, ENVIADO AL ING. HUGO ALEJANDRO ABUNDIS GONZALEZ, SUPERINTENDENTE DE LA COMISIÓN FEDERAL DE LECTRICIDAD ZONA HUEJUTLA "/>
    <s v="N/A"/>
    <s v="N/A"/>
    <m/>
    <m/>
    <m/>
    <m/>
    <s v="CIUDADANO (A)"/>
    <x v="0"/>
    <x v="3"/>
    <s v="14 CALNALI"/>
    <s v="PEZMATLAN "/>
    <s v="FEMENINO "/>
    <m/>
    <m/>
    <n v="1"/>
    <n v="1"/>
    <m/>
    <s v="GOLFO CENTRO"/>
    <s v="ZONA HUEJUTLA "/>
  </r>
  <r>
    <n v="31"/>
    <s v="657"/>
    <x v="7"/>
    <d v="2026-08-11T00:00:00"/>
    <s v="SEDECO/CGI/TI/0982/2026_x000a_SDPEE/DGAP/5392/2026"/>
    <s v="SANDY "/>
    <s v="ATENDER A ANTONIO HERNÁNDEZ HERNÁNDEZ, QUIEN SOLICITA LA AMPLIACIÓN DE RED DE ENERGÍA ELECTRICA (10 POSTES DE ENERGÍA)"/>
    <s v="ING. SANDRA"/>
    <s v="ALTO"/>
    <d v="2026-08-11T00:00:00"/>
    <x v="0"/>
    <s v="SDE-UC-01501-26"/>
    <s v="AEEH/DG/0814/2026, DE FECHA 14/08/2026, ENVIADO AL ING. OCTAVIO GOMEZ PAULIN, COORDINADOR DE GESTIÓN INSTICUCIONAL"/>
    <x v="0"/>
    <s v="AEEH/DG/0827/2026, DE FECHA 18/08/2026, ENVIADO AL ING. HUGO ALEJANDRO ABUNDIS GONZALEZ, SUPERINTENDENTE DE LA COMISIÓN FEDERAL DE LECTRICIDAD ZONA HUEJUTLA "/>
    <s v="N/A"/>
    <s v="N/A"/>
    <m/>
    <m/>
    <m/>
    <m/>
    <s v="CIUDADANO (A)"/>
    <x v="0"/>
    <x v="2"/>
    <s v="73 TLANCHINOL"/>
    <s v="TOTONICAPA"/>
    <s v="MASCULINO "/>
    <m/>
    <m/>
    <n v="1"/>
    <n v="1"/>
    <m/>
    <s v="GOLFO CENTRO"/>
    <s v="ZONA HUEJUTLA "/>
  </r>
  <r>
    <n v="32"/>
    <s v="672"/>
    <x v="7"/>
    <d v="2026-08-12T00:00:00"/>
    <s v="SEDECO/CGI/TI/0999/2026_x000a_SDPEE/DGAP/5541/2026"/>
    <s v="SANDY "/>
    <s v="ATENDER A ARTURO FELIX ACOSTA, SOLICITA LA INSTALACIÓN DE LAMPARAS SOLARES O CELDAS FOTOVOLTAICOS PARA ALUMBRADO DE ÁREAS RECREATIVAS DE SU LOCALIDAD "/>
    <s v="ING. SANDRA"/>
    <s v="ALTO"/>
    <d v="2026-08-12T00:00:00"/>
    <x v="0"/>
    <s v="SDE-UC-01528-26"/>
    <s v="AEEH/DG/0815/2026, DE FECHA 12/08/2026, ENVIADO AL ING. OCTAVIO GÓMEZ PAULIN, COORDINADOR DE GESTIÓN INSTITUCIONAL "/>
    <x v="2"/>
    <s v="N/A"/>
    <s v="N/A"/>
    <s v="N/A"/>
    <m/>
    <m/>
    <m/>
    <m/>
    <m/>
    <x v="2"/>
    <x v="1"/>
    <s v="14 CALNALI"/>
    <s v="COYULA"/>
    <m/>
    <m/>
    <m/>
    <m/>
    <m/>
    <m/>
    <s v="GOLFO CENTRO"/>
    <s v="ZONA HUEJUTLA "/>
  </r>
  <r>
    <n v="33"/>
    <s v="673"/>
    <x v="7"/>
    <d v="2026-08-12T00:00:00"/>
    <s v="SEDECO/CGI/TI/1002/2026_x000a_SDPEE/DGAP/5570/2026"/>
    <s v="SANDY "/>
    <s v="ATENDER A WILEVALDO NAJERA TORRES, QUIEN SOLICITA LA INTERVENCIÓN CON CFE TRAS UN AJUSTE DE FACTURACIÓN (MULTA POR $66,523.00)"/>
    <s v="ING. SANDRA"/>
    <s v="ALTO"/>
    <d v="2026-08-12T00:00:00"/>
    <x v="0"/>
    <s v="SDE-UC-01529-26"/>
    <s v="AEEH/DG/0816/2026, DE FECHA 14/08/2026, ENVIADO AL ING. OCTAVIO GÓMEZ PAULIN, COORDINADOR DE GESTIÓN INSTITUCIONAL "/>
    <x v="0"/>
    <s v="AEEH/DG/0830/2026, DE FECHA 18/08/2026, ENVIADO AL ING. RAFAEL NAVARRO PÉREZ, SUPERINTENDENTE DE LA COMISIÓN FEDERAL DE LECTRICIDAD ZONA PACHUCA "/>
    <s v="SI"/>
    <s v="RNP-335-2026"/>
    <s v="N/A"/>
    <s v="N/A"/>
    <s v="N/A"/>
    <s v="N/A"/>
    <m/>
    <x v="2"/>
    <x v="6"/>
    <s v="52 SAN AGUSTÍN TLAXIACA"/>
    <m/>
    <m/>
    <m/>
    <m/>
    <m/>
    <m/>
    <m/>
    <m/>
    <m/>
  </r>
  <r>
    <n v="34"/>
    <s v="697"/>
    <x v="7"/>
    <d v="2026-08-19T00:00:00"/>
    <s v="SEDECO/CGI/TI/1032/2026_x000a_SDPEE/DGAP/5763/2026"/>
    <s v="DIEGO "/>
    <s v="ATENDER A FILIBERTO HILARIO MOEDANO, QUIEN SOLICITA ALUMBRADO PÚBLICO EN SU LOCALIDAD  "/>
    <s v="ARQ. DIEGO"/>
    <s v="ALTO"/>
    <d v="2026-08-20T00:00:00"/>
    <x v="0"/>
    <s v="SDE-UC-01596-26"/>
    <s v="AEEH/DG/0845/2026, DE FECHA 20/08/2026, ENVIADO AL ING. OCTAVIO GÓMEZ PAULIN, COORDINADOR DE GESTIÓN INSTITUCIONAL "/>
    <x v="2"/>
    <s v="N/A"/>
    <s v="N/A"/>
    <s v="N/A"/>
    <s v="N/A"/>
    <s v="N/A"/>
    <s v="N/A"/>
    <s v="N/A"/>
    <s v="CIUDADANO (A)"/>
    <x v="0"/>
    <x v="1"/>
    <s v="81 ZACUALTIPÁN DE ÁNGELES"/>
    <m/>
    <s v="MASCULINO "/>
    <m/>
    <m/>
    <n v="1"/>
    <m/>
    <m/>
    <s v="GOLFO CENTRO"/>
    <s v="ZONA HUEJUTLA "/>
  </r>
  <r>
    <n v="35"/>
    <s v="696"/>
    <x v="7"/>
    <d v="2026-08-19T00:00:00"/>
    <s v="SEDECO/CGI/TI/1033/2026_x000a_SDPEE/DGAP/5697/2026"/>
    <s v="DIEGO "/>
    <s v="ATENDER A JUAN LOPEZ TELLEZ, QUIEN SOLICITA LA MODERNIZACIÓN Y REUBICACIÓN DE LA RED ELECTRICA DE SU LOCALIDAD "/>
    <s v="ARQ. DIEGO"/>
    <s v="ALTO"/>
    <d v="2026-08-20T00:00:00"/>
    <x v="0"/>
    <s v="SDE-UC-01593-26"/>
    <s v="AEEH/DG/0850/2026, DE FECHA 21/08/2026, ENVIADO AL ING. OCTAVIO GÓMEZ PAULIN, COORDINADOR DE GESTIÓN INSTITUCIONAL "/>
    <x v="2"/>
    <s v="N/A"/>
    <s v="N/A"/>
    <s v="N/A"/>
    <s v="N/A"/>
    <s v="N/A"/>
    <s v="N/A"/>
    <s v="N/A"/>
    <s v="CIUDADANO (A)"/>
    <x v="0"/>
    <x v="3"/>
    <s v="37 METZTITLÁN"/>
    <m/>
    <s v="FEMENINO "/>
    <m/>
    <m/>
    <n v="1"/>
    <m/>
    <m/>
    <s v="GOLFO CENTRO"/>
    <s v="ZONA HUEJUTLA "/>
  </r>
  <r>
    <n v="36"/>
    <s v="693"/>
    <x v="7"/>
    <d v="2026-08-19T00:00:00"/>
    <s v="SEDECO/CGI/TI/1029/2026_x000a_SDPEE/DGAP/5713/2026"/>
    <s v="DIEGO "/>
    <s v="ATENDER A ARACELI CORTES SONI, QUIEN SOLICITA ALUMBRADO PÚBLICO PARA SU LOCALIDAD. "/>
    <s v="ARQ. DIEGO"/>
    <s v="ALTO"/>
    <d v="2026-08-20T00:00:00"/>
    <x v="0"/>
    <s v="SDE-UC-01594-26"/>
    <s v="AEEH/DG/0851/2026, DE FECHA 21/08/2026, ENVIADO AL ING. OCTAVIO GÓMEZ PAULIN, COORDINADOR DE GESTIÓN INSTITUCIONAL "/>
    <x v="2"/>
    <s v="N/A"/>
    <s v="N/A"/>
    <s v="N/A"/>
    <s v="N/A"/>
    <s v="N/A"/>
    <s v="N/A"/>
    <s v="N/A"/>
    <s v="CIUDADANO (A)"/>
    <x v="0"/>
    <x v="1"/>
    <s v="79 XOCHICOATLÁN"/>
    <m/>
    <s v="FEMENINO "/>
    <m/>
    <m/>
    <n v="1"/>
    <m/>
    <m/>
    <s v="GOLFO CENTRO"/>
    <s v="ZONA HUEJUTLA "/>
  </r>
  <r>
    <n v="37"/>
    <s v="687"/>
    <x v="7"/>
    <d v="2026-08-19T00:00:00"/>
    <s v="SEDECO/CGI/TI/1015/2026_x000a_SDPEE/DGAP/5602/2026"/>
    <s v="SANDY "/>
    <s v="ATENDER A JOSE FELIPE JIMÉNEZ VIVEROS, QUIEN SOLICITA LA REUBICACIÓN DE UN POSTE EL CUAL ES PELIGROSO PARA LOS HABITANTES DE SU DOMICILIO.   "/>
    <s v="ING. SANDRA"/>
    <s v="ALTO"/>
    <d v="2026-08-20T00:00:00"/>
    <x v="0"/>
    <s v="SDE-UC-01551-26"/>
    <s v="AEEH/DG/0856/2026, DE FECHA 24/08/2026, ENVIADO AL ING. OCTAVIO GÓMEZ PAULIN, COORDINADOR DE GESTIÓN INSTITUCIONAL "/>
    <x v="2"/>
    <s v="N/A"/>
    <s v="N/A"/>
    <s v="N/A"/>
    <s v="N/A"/>
    <s v="N/A"/>
    <s v="N/A"/>
    <s v="N/A"/>
    <s v="CIUDADANO (A)"/>
    <x v="0"/>
    <x v="5"/>
    <s v="48 PACHUCA DE SOTO"/>
    <m/>
    <s v="MASCULINO "/>
    <m/>
    <m/>
    <n v="1"/>
    <m/>
    <m/>
    <s v="CENTRO ORIENTE"/>
    <s v="ZONA PACHUCA"/>
  </r>
  <r>
    <n v="38"/>
    <s v="694"/>
    <x v="7"/>
    <d v="2026-08-19T00:00:00"/>
    <s v="SEDECO/CGI/TI/1030/2026_x000a_SDPEE/DGAP/5721/2026"/>
    <s v="SANDY "/>
    <s v="ATENDER A VIRGINIA BAÑOS ISLAS, QUIEN SOLICITA MEDIACIÓN CON CFE POR UN PRESUNTO ADEUDO.  "/>
    <s v="ING. SANDRA"/>
    <s v="ALTO"/>
    <d v="2026-08-20T00:00:00"/>
    <x v="0"/>
    <s v="SDE-UC-01591-26"/>
    <s v="AEEH/DG/0857/2026, DE FECHA 24/08/2026, ENVIADO AL ING. OCTAVIO GÓMEZ PAULIN, COORDINADOR DE GESTIÓN INSTITUCIONAL "/>
    <x v="2"/>
    <s v="N/A"/>
    <s v="N/A"/>
    <s v="N/A"/>
    <s v="N/A"/>
    <s v="N/A"/>
    <s v="N/A"/>
    <s v="N/A"/>
    <s v="CIUDADANO (A)"/>
    <x v="0"/>
    <x v="6"/>
    <s v="48 PACHUCA DE SOTO"/>
    <m/>
    <s v="FEMENINO "/>
    <m/>
    <m/>
    <n v="1"/>
    <m/>
    <m/>
    <s v="CENTRO ORIENTE"/>
    <s v="ZONA PACHUCA"/>
  </r>
  <r>
    <n v="39"/>
    <s v="695"/>
    <x v="7"/>
    <d v="2026-08-19T00:00:00"/>
    <s v="SEDECO/CGI/TI/1034/2026_x000a_SDPEE/DGAP/5780/2026"/>
    <s v="SANDY "/>
    <s v="ATENDER A JUANA FRANCISCO BELIO, QUIEN SOLICITA ALUMBRADO PÚBLICO PARA SU LOCALIDAD "/>
    <s v="ING. SANDRA"/>
    <s v="ALTO"/>
    <d v="2026-08-20T00:00:00"/>
    <x v="0"/>
    <s v="SDE-UC-01590-26"/>
    <s v="AEEH/DG/0858/2026, DE FECHA 24/08/2026, ENVIADO AL ING. OCTAVIO GÓMEZ PAULIN, COORDINADOR DE GESTIÓN INSTITUCIONAL "/>
    <x v="2"/>
    <s v="N/A"/>
    <s v="N/A"/>
    <s v="N/A"/>
    <s v="SI"/>
    <s v="AEEH/DG/0864/2026, DE FECHA 24/08/2026, ENVIADO AL PROFR. LUIS ENRIQUE TAPIA ZAPATA, PRESIDENTE MUNICIPAL CONSTITUCIONAL DE JUAREZ, HIDALGO.  "/>
    <m/>
    <m/>
    <s v="CIUDADANO (A)"/>
    <x v="0"/>
    <x v="1"/>
    <s v="33 JUÁREZ HIDALGO"/>
    <s v="SAN NICOLAS COATZONTLA"/>
    <s v="FEMENINO "/>
    <m/>
    <m/>
    <n v="1"/>
    <m/>
    <m/>
    <s v="GOLFO CENTRO"/>
    <s v="ZONA HUEJUTLA "/>
  </r>
  <r>
    <n v="40"/>
    <s v="698"/>
    <x v="7"/>
    <d v="2026-08-19T00:00:00"/>
    <s v="SEDECO/CGI/TI/1031/2026_x000a_SDPEE/DGAP/5736/2026"/>
    <s v="SANDY "/>
    <s v="ATENDER A LEONCIO ALVAREZ ALARCON, QUIEN SOLICITA APOYO PARA LA CORRECIÓN DE DATOS EN RECIBOS DE LUZ  "/>
    <s v="ARQ. ORLANDO _x000a_ING. SANDRA"/>
    <s v="ALTO"/>
    <d v="2026-08-20T00:00:00"/>
    <x v="0"/>
    <s v="SDE-UC-01595-26"/>
    <s v="AEEH/DG/0859/2026, DE FECHA 24/08/2026, ENVIADO AL ING. OCTAVIO GÓMEZ PAULIN, COORDINADOR DE GESTIÓN INSTITUCIONAL "/>
    <x v="0"/>
    <s v="AEEH/DG/0862/2026, DE FECHA 24/08/2026, ENVIADO AL ING. HUGO ALEJANDRO ABUNDIS GONZALEZ, SUPERINTENDENTE DE LA COMISIÓN FEDERAL DE LECTRICIDAD ZONA HUEJUTLA "/>
    <s v="N/A"/>
    <s v="N/A"/>
    <s v="N/A"/>
    <s v="N/A"/>
    <s v="N/A"/>
    <s v="N/A"/>
    <s v="CIUDADANO (A)"/>
    <x v="0"/>
    <x v="7"/>
    <s v="68 TIANGUISTENGO"/>
    <m/>
    <s v="MASCULINO "/>
    <m/>
    <m/>
    <n v="1"/>
    <m/>
    <m/>
    <s v="GOLFO CENTRO"/>
    <s v="ZONA HUEJUTLA "/>
  </r>
  <r>
    <n v="41"/>
    <s v="718"/>
    <x v="7"/>
    <d v="2026-08-27T00:00:00"/>
    <s v="SEDECO/CGI/TI/1074/2026_x000a_SDPEE/DGAP/6034/2026"/>
    <s v="SANDY "/>
    <s v="ATENDER A ANTONIO MONTIEL ESCAMILLA, QUIEN SOLICITA APOYO PARA LA AMPLIACIÓN DE ENERGÍA ELECTRICA EN SU LOCALIDAD. "/>
    <s v="ING. SANDRA"/>
    <s v="ALTO"/>
    <d v="2026-08-27T00:00:00"/>
    <x v="0"/>
    <s v="SDE-UC-01682-26"/>
    <s v="AEEH/DG/0874/2026, DE FECHA 28/08/2026, ENVIADO AL ING. OCTAVIO GÓMEZ PAULIN, COORDINADOR DE GESTIÓN INSTITUCIONAL "/>
    <x v="0"/>
    <s v="AEEH/DG/0890/2026, DE FECHA 01/09/2026, ENVIADO AL ING. HUGO ALEJANDRO ABUNDIS GONZALEZ, SUPERINTENDENTE DE LA COMISIÓN FEDERAL DE LECTRICIDAD ZONA HUEJUTLA "/>
    <m/>
    <m/>
    <m/>
    <m/>
    <m/>
    <m/>
    <s v="CIUDADANO (A)"/>
    <x v="0"/>
    <x v="3"/>
    <s v="37 METZTITLÁN"/>
    <s v="BARRIO LOS CERRITOS "/>
    <m/>
    <m/>
    <m/>
    <n v="1"/>
    <m/>
    <m/>
    <s v="GOLFO CENTRO"/>
    <s v="ZONA HUEJUTLA "/>
  </r>
  <r>
    <n v="42"/>
    <s v="706"/>
    <x v="7"/>
    <d v="2026-08-26T00:00:00"/>
    <s v="SEDECO/CGI/TI/1063/2026_x000a_SDPEE/DGAP/5929/2026"/>
    <s v="SANDY "/>
    <s v="ATENDER A ALICIA GOMEZ ZAPATA, QUIEN SOLICITA AMPLIACIÓN DE LUZ ELECTRICA (NO CUENTAN CON EL SERVICIO)"/>
    <s v="ING. SANDRA"/>
    <s v="ALTO"/>
    <d v="2026-08-26T00:00:00"/>
    <x v="0"/>
    <s v=" SDE-UC-01644-26"/>
    <s v="AEEH/DG/0875/2026, DE FECHA 28/08/2026, ENVIADO AL ING. OCTAVIO GÓMEZ PAULIN, COORDINADOR DE GESTIÓN INSTITUCIONAL "/>
    <x v="0"/>
    <s v="AEEH/DG/0891/2026, DE FECHA 01/09/2026, ENVIADO AL ING. HUGO ALEJANDRO ABUNDIS GONZALEZ, SUPERINTENDENTE DE LA COMISIÓN FEDERAL DE LECTRICIDAD ZONA HUEJUTLA "/>
    <s v="N/A"/>
    <s v="N/A"/>
    <s v="N/A"/>
    <s v="N/A"/>
    <s v="N/A"/>
    <s v="N/A"/>
    <s v="CIUDADANO (A)"/>
    <x v="0"/>
    <x v="3"/>
    <s v="71 TLAHUILTEPA"/>
    <s v="AGUA DEL CUERVO"/>
    <s v="FEMENINO "/>
    <m/>
    <m/>
    <n v="1"/>
    <m/>
    <m/>
    <s v="GOLFO CENTRO"/>
    <s v="ZONA HUEJUTLA "/>
  </r>
  <r>
    <n v="43"/>
    <s v="690"/>
    <x v="7"/>
    <d v="2026-08-26T00:00:00"/>
    <s v="SEMARNATH/DESP/DGOET/410-2026"/>
    <s v="DIEGO "/>
    <s v="SEMARNATH SOLICITA INFORMACION DE LOS PLANES, PROGRAMAS Y PROYECTOS EN LOS MUNICIPIOS DE SAN GUSTÍN TLAXIACA, TLAHUELILPAN, TEPETILAN, TEZONTEPEC DE ALDAMA Y TULA DE ALLENDE"/>
    <s v="ARQ. DIEGO"/>
    <s v="ALTO"/>
    <d v="2026-08-26T00:00:00"/>
    <x v="0"/>
    <s v="SDE-AEEH-00432-26"/>
    <s v="AEEH/DG/0881/2026, DE FECHA 31/08/2026, ENVIADO A LA MTRA. MÓNICA PATRICIA MIXTEGA TREJO, SECRETARIA DE MEDIO AMBIENTE Y RECURSOS NATURALES DEL ESTADO DE HIDALGO "/>
    <x v="2"/>
    <s v="N/A"/>
    <s v="N/A"/>
    <s v="N/A"/>
    <s v="N/A"/>
    <s v="N/A"/>
    <s v="N/A"/>
    <s v="N/A"/>
    <s v="DEPENDENCIA ESTATAL "/>
    <x v="1"/>
    <x v="4"/>
    <m/>
    <m/>
    <m/>
    <m/>
    <m/>
    <n v="1"/>
    <m/>
    <m/>
    <s v="N/A"/>
    <s v="N/A"/>
  </r>
  <r>
    <n v="44"/>
    <s v="707"/>
    <x v="7"/>
    <d v="2026-08-26T00:00:00"/>
    <s v="SEDECO/CGI/TI/1062/2026_x000a_SDPEE/DGAP/5917/2026"/>
    <s v="DIEGO "/>
    <s v="ATENDER A CLEMENTE CORREA ACOSTA, QUIEN SOLICITA INTERVENCIÓN CON CFE PARA CAMBIAR LA RUTA DE LA RED ELECTRICA DE SU LOCALIDAD. "/>
    <s v="ARQ. DIEGO"/>
    <s v="ALTO"/>
    <d v="2026-08-26T00:00:00"/>
    <x v="0"/>
    <s v=" SDE-UC-01638-26"/>
    <s v="AEEH/DG/0883/2026, DE FECHA 31/08/2026, ENVIADO AL ING. OCTAVIO GÓMEZ PAULIN, COORDINADOR DE GESTIÓN INSTITUCIONAL "/>
    <x v="2"/>
    <s v="N/A"/>
    <s v="N/A"/>
    <s v="N/A"/>
    <s v="N/A"/>
    <s v="N/A"/>
    <s v="N/A"/>
    <s v="N/A"/>
    <s v="CIUDADANO (A)"/>
    <x v="0"/>
    <x v="3"/>
    <s v="71 TLAHUILTEPA"/>
    <s v="LAZARO CARDENAS"/>
    <m/>
    <m/>
    <m/>
    <n v="1"/>
    <m/>
    <m/>
    <s v="CENTRO ORIENTE"/>
    <s v="ZONA TULA"/>
  </r>
  <r>
    <n v="45"/>
    <s v="022"/>
    <x v="5"/>
    <d v="2026-01-23T00:00:00"/>
    <s v="SDG/DGAP/113/2026_x000a_SEDECO/CGI/TI/0027/2026"/>
    <s v="AEEH-2*1S.1/01-2026_x000a_ASESORIAS EN MATERIA ENERGÉTICA (VARIOS MUNICIPIOS)"/>
    <s v="SOLICITA ATENDER A LA C. ANASTACIA MARTÍNEZ CORDERO, QUIEN SOLICITA APOYO PARA REUBICAR UN POSTE DE LUZ UBICADO DENTRO DE LA ESCUELA PRIMARIA &quot;BENITO JUAREZ&quot;"/>
    <s v="ING. FRANCISCO"/>
    <s v="MEDIO"/>
    <d v="2026-01-26T00:00:00"/>
    <x v="0"/>
    <s v="SDE-UCC-07557-26"/>
    <s v="AEEH/DG/092/2026, DE FECHA 09/02/2026, ENVIADO AL ING. OCTAVIO GÓMEZ PAULIN, COORDINADOR DE GESTIÓN INSTITUCIONAL _x000a_"/>
    <x v="0"/>
    <s v="AEEH/DG/083/2026, DE FECHA 06/02/2026, ENVIADO AL ING. ALEJANDRO YUSULMAN HERNÁNDEZ LEAL DE CFE"/>
    <s v="NO"/>
    <s v="N/A"/>
    <s v="N/A"/>
    <s v="N/A"/>
    <s v="N/A"/>
    <s v="N/A"/>
    <s v="CIUDADANO (A)"/>
    <x v="0"/>
    <x v="3"/>
    <s v="47 PACULA"/>
    <s v="JILIAPAN"/>
    <s v="FEMENINO "/>
    <s v="772 117 4762"/>
    <s v="anamaco_10yahoo.com.mx"/>
    <n v="1"/>
    <n v="150"/>
    <n v="600"/>
    <s v="DIVISION BAJIO"/>
    <s v="ZONA IXMIQUILPAN"/>
  </r>
  <r>
    <n v="46"/>
    <s v="090"/>
    <x v="0"/>
    <d v="2026-02-06T00:00:00"/>
    <s v="SDPEE/DGAP/163/2026_x000a_SEDECO/CGI/TI/0121/2026"/>
    <s v="AEEH-2*1S.1/01-2026_x000a_ASESORIAS EN MATERIA ENERGÉTICA (VARIOS MUNICIPIOS)"/>
    <s v="ATEN DER AL C. DAVID RAMIREZ VALENCIA, QUIEN SOLICITA APOYO CON LA INSTALACIÓN DE ALUMBRADO PÚBLICO "/>
    <s v="ING. FRANCISCO"/>
    <s v="ALTO"/>
    <d v="2026-02-06T00:00:00"/>
    <x v="0"/>
    <s v="SDE-UCC-07744-26"/>
    <s v="AEEH/DG/093/2026, DE FECHA 09/02/2026, ENVIADO AL ING. OCTAVIO GÓMEZ PAULIN._x000a_AEEH/DG/143/2026, DE FECHA 18/02/2026, ENVIADO AL ING. OCTAVIO GÓMEZ PAULIN._x000a_"/>
    <x v="1"/>
    <s v="N/A"/>
    <s v="N/A"/>
    <s v="N/A"/>
    <s v="SI"/>
    <s v="OFICIO AEEH/DG/154/2026, DE FECHA 23/02/2026, ENVIADO A LA C. ABRIL MARTÍNEZ PORTILLO, PRESIDENTA MUNICIPAL DE TLANALAPA"/>
    <s v="NO"/>
    <s v="N/A"/>
    <s v="CIUDADANO (A)"/>
    <x v="0"/>
    <x v="1"/>
    <s v="72 TLANALAPA"/>
    <s v="TLANALAPA"/>
    <s v="MASCULINO "/>
    <s v="771 112 2551"/>
    <s v="davidramval7@gmail.com"/>
    <n v="1"/>
    <n v="71"/>
    <n v="284"/>
    <s v="CENTRO ORIENTE"/>
    <s v="ZONA TULANCINGO"/>
  </r>
  <r>
    <n v="47"/>
    <s v="103"/>
    <x v="0"/>
    <d v="2026-02-06T00:00:00"/>
    <s v="SDPEE/DGAP/213/2026_x000a_SEDECO/CGI/TI/0124/2026"/>
    <s v="AEEH-2*1S.1/01-2026_x000a_ASESORIAS EN MATERIA ENERGÉTICA (VARIOS MUNICIPIOS)"/>
    <s v="ATENDER A LA C. MARÍA DE JESÚS VILLEGAS CERVANTES, PARA BENEFICIARLA CON ALUMBRADO PÚBLICO "/>
    <s v="ING. FRANCISCO"/>
    <s v="ALTO"/>
    <d v="2026-02-06T00:00:00"/>
    <x v="0"/>
    <s v="SDE-UCC-07772-26"/>
    <s v="AEEH/DG/094/2026, DE FECHA 09/02/2026, ENVIADO AL ING. OCTAVIO GÓMEZ PAULIN._x000a_AEEH/DG/144/2026, DE FECHA 18/02/2026, ENVIADO AL ING. OCTAVIO GÓMEZ PAULIN._x000a_"/>
    <x v="2"/>
    <s v="N/A"/>
    <s v="N/A"/>
    <s v="N/A"/>
    <s v="SI"/>
    <s v="AEEH/DG/160/2026, DE FECHA 25/02/2026, ENVIADO AL MTRO. FRANCISCO SINUHÉ REMÍREZ OVIEDO, PRESIDENTE MUNICIPAL DE ZEMPOALA"/>
    <s v="NO"/>
    <s v="N/A"/>
    <s v="CIUDADANO (A)"/>
    <x v="0"/>
    <x v="1"/>
    <s v="83 ZEMPOALA"/>
    <s v="SAN JUAN TEPERNAZALCO"/>
    <s v="FEMENINO "/>
    <s v="561 161 3676"/>
    <s v="villegascervantes120973@gmail.com"/>
    <n v="1"/>
    <n v="2"/>
    <n v="8"/>
    <s v="CENTRO ORIENTE"/>
    <s v="ZONA PACHUCA"/>
  </r>
  <r>
    <n v="48"/>
    <s v="130"/>
    <x v="0"/>
    <d v="2026-02-19T00:00:00"/>
    <s v="OM/0225-14/2026"/>
    <s v="AEEH-2*1S/05-2026 _x000a_SOLICITUDES DE PRACTICAS, SERVICIO SOCIAL Y RESIDENCIA "/>
    <s v="DESIGNACIÓN DE ENLACE INSTITUCIONAL DEL PROGRAMA DE SERVICIO SOCIAL Y PRÁCTICAS PROFESIONALES ANTE OFICILÍA MAYOR"/>
    <s v="LIC. ARELI"/>
    <s v="MEDIO"/>
    <d v="2026-02-19T00:00:00"/>
    <x v="0"/>
    <s v="N/A"/>
    <s v="AEEH/DG/132/2026, DE FECHA 16/02/2026, ENVIADO A LA MTRA. JESSICA ESPERANZA GONZALEZ DÍAZ _x000a_SE DESIGNA A ARELI HERNÁNDEZ COMO ENLACE Y ASISTE A LA CAPACITACIÓN EN PALACIO DE GOBIERNO."/>
    <x v="2"/>
    <s v="N/A"/>
    <s v="N/A"/>
    <s v="N/A"/>
    <s v="N/A"/>
    <s v="N/A"/>
    <s v="N/A"/>
    <s v="N/A"/>
    <s v="DEPENDENCIA ESTATAL "/>
    <x v="1"/>
    <x v="4"/>
    <m/>
    <m/>
    <s v="MASCULINO "/>
    <s v="771 717 6000 Ext. 6283"/>
    <m/>
    <n v="1"/>
    <n v="1"/>
    <n v="0"/>
    <s v="N/A"/>
    <s v="N/A"/>
  </r>
  <r>
    <n v="49"/>
    <s v="128"/>
    <x v="0"/>
    <d v="2026-02-17T00:00:00"/>
    <s v="IHDM/DG/021/2026"/>
    <s v="AEEH-2*1S.3/05-2026_x000a_INSTITUTO HIDALGUENSE PARA EL DESARROLLO MUNICIPAL"/>
    <s v="EL INSTITUTO HIDALGUENSE PARA EL DESARROLLO MUNICIPAL, SOLICITA LA DESIGNACIÓN DE ENLACE PARA APOYAR Y ACERCAR HERRAMIENTAS A LOS GOBIERNOS MUNICIPALES "/>
    <s v="ARQ. ORLANDO"/>
    <s v="MEDIO"/>
    <d v="2026-02-11T00:00:00"/>
    <x v="0"/>
    <s v="N/A"/>
    <s v="AEEH/DG/141/2026, DE FECHA 18/02/2026, ENVIADO VIA CORREO ELECTRONICO AL LIC. ABEL CERÓN SAN NICOLÁS, DIRECTOR GENERAL DEL IHDM"/>
    <x v="2"/>
    <s v="N/A"/>
    <s v="N/A"/>
    <s v="N/A"/>
    <s v="N/A"/>
    <s v="N/A"/>
    <s v="N/A"/>
    <s v="N/A"/>
    <s v="DEPENDENCIA ESTATAL "/>
    <x v="1"/>
    <x v="4"/>
    <m/>
    <s v="COL. CENTRO "/>
    <s v="MASCULINO "/>
    <s v="771 718 8904"/>
    <s v="abel.ceron@hidalgo.gob.mx_x000a_ihdm@hidalgo.gob.mx"/>
    <n v="1"/>
    <n v="1"/>
    <n v="0"/>
    <s v="N/A"/>
    <s v="N/A"/>
  </r>
  <r>
    <n v="50"/>
    <s v="116"/>
    <x v="0"/>
    <d v="2026-02-11T00:00:00"/>
    <s v="SDPEE/DGAP/234/2026_x000a_SEDECO/CGI/TI/0124/2026"/>
    <s v="AEEH-2*1S.1/01-2026_x000a_ASESORIAS EN MATERIA ENERGÉTICA (VARIOS MUNICIPIOS)"/>
    <s v="SOLICITA ATENDER AL C. JUAN GUZMÁN EVARISTO, QUIEN SOLICITA APOYO PARA LA ADQUISICIÓN DE PANELES SOLARES PARA BALNEARIO DE SU COMUNIDAD"/>
    <s v="ING. FRANCISCO"/>
    <s v="ALTO"/>
    <d v="2026-02-11T00:00:00"/>
    <x v="0"/>
    <s v="SDE-UCC-07785-26"/>
    <s v="AEEH/DG/145/2026, DE FECHA 18/02/2026, ENVIADO AL ING. OCTAVIO GÓMEZ PAULIN._x000a_AEEH/DG/153/2026, DE FECHA 23/02/2026, ENVIADO AL ING. OCTAVIO GÓMEZ PAULIN."/>
    <x v="2"/>
    <s v="N/A"/>
    <s v="N/A"/>
    <s v="N/A"/>
    <s v="N/A"/>
    <s v="N/A"/>
    <s v="N/A"/>
    <s v="N/A"/>
    <s v="CIUDADANO (A)"/>
    <x v="0"/>
    <x v="8"/>
    <s v="73 TLANCHINOL"/>
    <s v="SANTA MARÍA"/>
    <s v="MASCULINO "/>
    <s v="771 203 8521"/>
    <s v="jorgedana178@gmail.com"/>
    <n v="1"/>
    <n v="1"/>
    <n v="4"/>
    <s v="GOLFO CENTRO"/>
    <s v="ZONA HUEJUTLA "/>
  </r>
  <r>
    <n v="51"/>
    <s v="150"/>
    <x v="0"/>
    <d v="2026-02-20T00:00:00"/>
    <s v="SEDECO /CGI/TI/0191/2026_x000a_SDPEE/DGAP/539/2026"/>
    <s v="AEEH-2*1S.1/01-2026_x000a_ASESORIAS EN MATERIA ENERGÉTICA (VARIOS MUNICIPIOS)"/>
    <s v="SOLICITA SE LE DE ATENCIÓN A LA C. JUANA ELIZARRAGA VÁZQUEZ, QUIEN SOLICITA APOYO PARA  LA AMPLIACIÓN O CONTINUIDAD DE LUZ CON POSTES FALTANTES"/>
    <s v="ING. FRANCISCO"/>
    <s v="ALTO"/>
    <d v="2026-02-25T00:00:00"/>
    <x v="0"/>
    <s v="SDE-UCC-07901-26"/>
    <s v="AEEH/DG/169/2026, DE FECHA 27/02/2026, ENVIADO AL ING. OCTAVIO GÓMEZ PAULIN._x000a_"/>
    <x v="1"/>
    <s v="N/A"/>
    <s v="N/A"/>
    <s v="N/A"/>
    <s v="N/A"/>
    <s v="N/A"/>
    <s v="N/A"/>
    <s v="N/A"/>
    <s v="CIUDADANO (A)"/>
    <x v="0"/>
    <x v="2"/>
    <s v="12 ATOTONILCO EL GRANDE"/>
    <s v="EL NOVILLERO "/>
    <s v="FEMENINO "/>
    <n v="7712387661"/>
    <m/>
    <n v="1"/>
    <n v="10"/>
    <n v="39"/>
    <s v="CENTRO ORIENTE"/>
    <s v="ZONA PACHUCA"/>
  </r>
  <r>
    <n v="52"/>
    <s v="151"/>
    <x v="0"/>
    <d v="2026-02-20T00:00:00"/>
    <s v="SEDECO /CGI/TI/0192/2026_x000a_SDPEE/DGAP/540/2026"/>
    <s v="AEEH-2*1S.1/01-2026_x000a_ASESORIAS EN MATERIA ENERGÉTICA (VARIOS MUNICIPIOS)"/>
    <s v="SOLICITA SE LE DE ATENCIÓN AL C. ERNESTO SOTO CASTAÑEDA, QUIEN SOLICITA APOYO PARA LA REPARACIÓN DE LAS LAMPARAS DE SU COMUNIDAD ASÍ COMO POSTES EN MAL ESTADO."/>
    <s v="ING. FRANCISCO"/>
    <s v="ALTO"/>
    <d v="2026-02-25T00:00:00"/>
    <x v="0"/>
    <s v="SDE-UCC-07899-26"/>
    <s v="AEEH/DG/170/2026, DE FECHA 27/02/2026, ENVIADO AL ING. OCTAVIO GÓMEZ PAULIN._x000a_AEEH/DG/194/2026, DE FECHA 09/03/2026, ENVIADO AL ING. OCTAVIO GÓMEZ PAULIN."/>
    <x v="1"/>
    <s v="N/A"/>
    <s v="N/A"/>
    <s v="N/A"/>
    <s v="N/A"/>
    <s v="N/A"/>
    <s v="N/A"/>
    <s v="N/A"/>
    <s v="CIUDADANO (A)"/>
    <x v="0"/>
    <x v="1"/>
    <s v="45 OMITLÁN DE JUÁREZ"/>
    <s v="BARRIO DEL ESPEJO"/>
    <s v="MASCULINO "/>
    <n v="7717082142"/>
    <s v="barriodelaviadero2025@gmail.com"/>
    <n v="1"/>
    <n v="50"/>
    <n v="200"/>
    <s v="CENTRO ORIENTE"/>
    <s v="ZONA PACHUCA"/>
  </r>
  <r>
    <n v="53"/>
    <s v="152"/>
    <x v="0"/>
    <d v="2026-02-20T00:00:00"/>
    <s v="SEDECO /CGI/TI/0193/2026_x000a_SDPEE/DGAP/547/2026"/>
    <s v="AEEH-2*1S.1/01-2026_x000a_ASESORIAS EN MATERIA ENERGÉTICA (VARIOS MUNICIPIOS)"/>
    <s v="SOLICITA ATENDER A LA C. ELIDA MARTÍNEZ HERNÁNDEZ, QUIEN SOLICITA APOYO CON EL SERVICIO DE LUZ EN LA COLONIA HUMBERTA."/>
    <s v="ING. FRANCISCO"/>
    <s v="ALTO"/>
    <d v="2026-02-25T00:00:00"/>
    <x v="0"/>
    <s v="SDE-UCC-07908-26"/>
    <s v="AEEH/DG/171/2026, DE FECHA 27/02/2026, ENVIADO AL ING. OCTAVIO GÓMEZ PAULIN._x000a_AEEH/DG/195/2026, DE FECHA 09/03/2026, ENVIADO AL ING. OCTAVIO GÓMEZ PAULIN."/>
    <x v="0"/>
    <s v="AEEH/DG/0731/2026, DE FECHA 03/08/2026, ENVIADO AL ING. HUGO ALEJANDRO ABUNDIS GONZÁLEZ "/>
    <s v="NO"/>
    <s v="N/A"/>
    <s v="N/A"/>
    <s v="N/A"/>
    <s v="N/A"/>
    <s v="N/A"/>
    <s v="CIUDADANO (A)"/>
    <x v="0"/>
    <x v="2"/>
    <s v="11 ATLAPEXCO"/>
    <s v="HUMBERTA "/>
    <s v="FEMENINO "/>
    <n v="7713439854"/>
    <m/>
    <n v="1"/>
    <n v="5"/>
    <n v="20"/>
    <s v="GOLFO CENTRO"/>
    <s v="ZONA HUEJUTLA "/>
  </r>
  <r>
    <n v="54"/>
    <s v="153"/>
    <x v="0"/>
    <d v="2026-02-20T00:00:00"/>
    <s v="SEDECO /CGI/TI/0194/2026_x000a_SDPEE/DGAP/555/2026"/>
    <s v="AEEH-2*1S.1/01-2026_x000a_ASESORIAS EN MATERIA ENERGÉTICA (VARIOS MUNICIPIOS)"/>
    <s v="ATENDER AL C. ERNESTO SOTO CASTAÑEDA, QUIEN SOLICITA APOYO CON LA COLOCACIÓN DE ALUMBRADO PÚBLICO EN SU LOCALIDAD "/>
    <s v="ING. FRANCISCO"/>
    <s v="ALTO"/>
    <d v="2026-02-25T00:00:00"/>
    <x v="0"/>
    <s v="SDE-UCC-07909-26"/>
    <s v="AEEH/DG/172/2026, DE FECHA 27/02/2026, ENVIADO AL ING. OCTAVIO GÓMEZ PAULIN._x000a_AEEH/DG/196/2026, DE FECHA 09/03/2026, ENVIADO AL ING. OCTAVIO GÓMEZ PAULIN."/>
    <x v="1"/>
    <s v="N/A"/>
    <s v="N/A"/>
    <s v="N/A"/>
    <s v="N/A"/>
    <s v="N/A"/>
    <s v="N/A"/>
    <s v="N/A"/>
    <s v="CIUDADANO (A)"/>
    <x v="0"/>
    <x v="1"/>
    <s v="45 OMITLÁN DE JUÁREZ"/>
    <s v="BARRIO DEL AVIADERO "/>
    <s v="MASCULINO "/>
    <n v="7717082142"/>
    <s v="barriodelaviadero2025@gmail.com"/>
    <n v="1"/>
    <n v="50"/>
    <n v="200"/>
    <s v="CENTRO ORIENTE"/>
    <s v="ZONA PACHUCA"/>
  </r>
  <r>
    <n v="55"/>
    <s v="158"/>
    <x v="0"/>
    <d v="2026-02-23T00:00:00"/>
    <s v="SDPEE/DGAP/602/2026_x000a_SEDECO /CGI/TI/0203/2026"/>
    <s v="AEEH-2*1S.1/01-2026_x000a_ASESORIAS EN MATERIA ENERGÉTICA (VARIOS MUNICIPIOS)"/>
    <s v="ATENDER A LA C. BERTHA MORALES QUIEN SOLICITA APOYO CON LA COLOCACIÓN DE ALUMBRADO PÚBLICO, DEBIDO A LOS DAÑOS OCASIONADOS POR LAS OBRAS DE CONSTRUCCIÓN EN LA AUTOPISTA REAL DEL MONTE - CRUCERO DE HUASCA"/>
    <s v="ING. FRANCISCO"/>
    <s v="ALTO"/>
    <d v="2026-02-25T00:00:00"/>
    <x v="0"/>
    <s v="SDE-UCC-07934-26"/>
    <s v="AEEH/DG/173/2026, DE FECHA 27/02/2026 ENVIADO AL ING. OCTAVIO GÓMEZ PAULIN _x000a_AEEH/DG/197/2026, DE FECHA 09/03/2026 ENVIADO AL ING. OCTAVIO GÓMEZ PAULIN "/>
    <x v="1"/>
    <s v="N/A"/>
    <s v="N/A"/>
    <s v="N/A"/>
    <s v="N/A"/>
    <s v="N/A"/>
    <s v="N/A"/>
    <s v="N/A"/>
    <s v="CIUDADANO (A)"/>
    <x v="0"/>
    <x v="1"/>
    <s v="45 OMITLÁN DE JUÁREZ"/>
    <s v="RINCON CHICO "/>
    <s v="FEMENINO "/>
    <n v="7714240336"/>
    <m/>
    <n v="1"/>
    <n v="72"/>
    <n v="288"/>
    <s v="CENTRO ORIENTE"/>
    <s v="ZONA PACHUCA"/>
  </r>
  <r>
    <n v="56"/>
    <s v="172"/>
    <x v="0"/>
    <d v="2026-02-27T00:00:00"/>
    <s v="SEDECO/CGI/TI/0219/2026_x000a_SDPEE/DGAP/659/2026"/>
    <s v="AEEH-2*1S.1/01-2026_x000a_ASESORIAS EN MATERIA ENERGÉTICA (VARIOS MUNICIPIOS)"/>
    <s v="ATENDER AL C. MARTIN LUGO PÉREZ QUIEN SOLICITA APOYO CON LA AMPLIACIÓN DE LA RED ELÉCTRICA EN EL EJIDO &quot;PALMILLAS&quot;."/>
    <s v="ING. FRANCISCO"/>
    <s v="ALTO"/>
    <d v="2026-02-27T00:00:00"/>
    <x v="0"/>
    <s v="SDE-UCC-07952-26"/>
    <s v="AEEH/DG/182/2026, DE FECHA 03/03/2026, ENVIADO AL ING. OCTAVIO GÓMEZ PAULIN._x000a_AEEH/DG/200/2026, DE FECHA 10/03/2026, ENVIADO AL ING. OCTAVIO GÓMEZ PAULIN._x000a__x000a_"/>
    <x v="1"/>
    <s v="N/A"/>
    <s v="N/A"/>
    <s v="N/A"/>
    <s v="N/A"/>
    <s v="N/A"/>
    <s v="N/A"/>
    <s v="N/A"/>
    <s v="CIUDADANO (A)"/>
    <x v="0"/>
    <x v="2"/>
    <s v="24 HUASCA DE OCAMPO"/>
    <s v="EJIDO PALMILLAS"/>
    <s v="MASCULINO "/>
    <n v="7712447808"/>
    <m/>
    <n v="1"/>
    <n v="4"/>
    <n v="16"/>
    <s v="CENTRO ORIENTE"/>
    <s v="ZONA PACHUCA"/>
  </r>
  <r>
    <n v="57"/>
    <s v="173"/>
    <x v="0"/>
    <d v="2026-02-27T00:00:00"/>
    <s v="SEDECO/CGI/TI/0220/2026_x000a_SDPEE/DGAP/686/2026"/>
    <s v="AEEH-2*1S.1/01-2026_x000a_ASESORIAS EN MATERIA ENERGÉTICA (VARIOS MUNICIPIOS)"/>
    <s v="ATENDER AL C. HÉCTOR MANUEL MENESES PADILLA, QUIEN SOLICITA APOYO CON INTERVENCIÓN ANTE PRESUNTO COBRRO DE UN SERVICIO DE CFE EL CUAL NO HIZO USO "/>
    <s v="ING. FRANCISCO"/>
    <s v="ALTO"/>
    <d v="2026-02-27T00:00:00"/>
    <x v="0"/>
    <s v="SDE-UCC-07960-26"/>
    <s v="AEEH/DG/183/2026, DE FECHA 03/03/2026, ENVIADO AL ING. OCTAVIO GÓMEZ PAULIN._x000a_"/>
    <x v="0"/>
    <s v="AEEH/DG/231/2026, DE FECHA 23/03/2026, ENVIADO AL ING. VICTOR ISRAEL ALARCON HEREDIA."/>
    <s v="SI"/>
    <s v="VAH-029-2026"/>
    <s v="N/A"/>
    <s v="N/A"/>
    <s v="N/A"/>
    <s v="N/A"/>
    <s v="CIUDADANO (A)"/>
    <x v="0"/>
    <x v="6"/>
    <s v="82 ZAPOTLÁN DE JUÁREZ"/>
    <s v="JAGUEY DE TELLEZ"/>
    <s v="MASCULINO "/>
    <s v="771 206 3154"/>
    <m/>
    <n v="1"/>
    <n v="1"/>
    <n v="4"/>
    <s v="CENTRO ORIENTE"/>
    <s v="ZONA PACHUCA"/>
  </r>
  <r>
    <n v="58"/>
    <s v="182"/>
    <x v="1"/>
    <d v="2026-03-02T00:00:00"/>
    <s v="SEDECO/CGI/TI/0232/2026_x000a_SDPEE/DGAP/745/2026_x000a_"/>
    <s v="AEEH-2*1S.1/01-2026_x000a_ASESORIAS EN MATERIA ENERGÉTICA (VARIOS MUNICIPIOS)"/>
    <s v="ATENDER A LA C. ÁNGELA HERNÁNDEZ GARAY QUIEN SOLICITA APOYO PARA LA ADQUISICIÓN Y COLOCACIÓN DE UN POSTE DE ENERGÍA ELÉCTRICA"/>
    <s v="ING. FRANCISCO"/>
    <s v="ALTO"/>
    <d v="2026-03-05T00:00:00"/>
    <x v="0"/>
    <s v="SDE-UC-00114-26"/>
    <s v="AEEH/DG/184/2026 DE FECHA 03/03/2026, ENVIADO AL ING. OCTAVIO GÓMEZ PAULIN _x000a_AEEH/DG/233/2026 DE FECHA 23/03/2026, ENVIADO AL ING. OCTAVIO GÓMEZ PAULIN "/>
    <x v="2"/>
    <s v="N/A"/>
    <s v="N/A"/>
    <s v="N/A"/>
    <s v="N/A"/>
    <s v="N/A"/>
    <s v="N/A"/>
    <s v="N/A"/>
    <s v="CIUDADANO (A)"/>
    <x v="0"/>
    <x v="2"/>
    <s v="18 CHAPULHUACÁN"/>
    <s v="LA ESCONDIDA "/>
    <s v="FEMENINO "/>
    <s v="771 346 9962"/>
    <m/>
    <n v="1"/>
    <n v="4"/>
    <n v="16"/>
    <s v="DIVISION BAJIO"/>
    <s v="ZONA IXMIQUILPAN"/>
  </r>
  <r>
    <n v="59"/>
    <s v="198"/>
    <x v="1"/>
    <d v="2026-03-04T00:00:00"/>
    <s v="SEDECO/CGI/TI/0251/2026_x000a_SDPEE/DGAP/782/2026"/>
    <s v="AEEH-2*1S.1/01-2026_x000a_ASESORIAS EN MATERIA ENERGÉTICA (VARIOS MUNICIPIOS)"/>
    <s v="ATENDER A LA C. FÉLIX SÁNCHEZ LICONA, QUIEN SOLICITA APOYO CON LA INSTALACIÓN DE ALUMBRADO PÚBLICO EN CAMINO DE SU LOCALIDAD "/>
    <s v="ING. FRANCISCO"/>
    <s v="ALTO"/>
    <d v="2026-03-06T00:00:00"/>
    <x v="0"/>
    <s v="SDE-UC-00018-26  _x000a__x000a_SDE-CGI-00239-26"/>
    <s v="AEEH/DG/201/2026, DE FECHA 10/03/2026, ENVIADO AL ING. OCTAVIO GÓMEZ PAULIN._x000a_AEEH/DG/236/2026, DE FECHA 23/03/2026, ENVIADO AL ING. OCTAVIO GÓMEZ PAULIN._x000a_"/>
    <x v="2"/>
    <s v="N/A"/>
    <s v="N/A"/>
    <s v="N/A"/>
    <s v="SI"/>
    <s v="AEEH/DG/241/2026, DE FECHA 23/03/2026, ENVIADO A LA C. MARTHA BELEM OLIVER GONZÁLEZ, PRESIDENTA MUINICIPAL DE OMITLAN DE JUAREZ."/>
    <s v="NO"/>
    <s v="N/A"/>
    <s v="CIUDADANO (A)"/>
    <x v="0"/>
    <x v="1"/>
    <s v="45 OMITLÁN DE JUÁREZ"/>
    <s v="EL PLAN TAPANCOS "/>
    <s v="MASCULINO "/>
    <n v="7711879427"/>
    <s v="fey.sanchez036@gmail.com"/>
    <n v="1"/>
    <n v="63"/>
    <n v="250"/>
    <s v="CENTRO ORIENTE"/>
    <s v="ZONA PACHUCA"/>
  </r>
  <r>
    <n v="60"/>
    <s v="194"/>
    <x v="1"/>
    <d v="2026-03-04T00:00:00"/>
    <s v="SEDECO/CGI/TI/0233/2026_x000a_SDPEE/DGAP/756/026"/>
    <s v="AEEH-2*1S.1/01-2026_x000a_ASESORIAS EN MATERIA ENERGÉTICA (VARIOS MUNICIPIOS)"/>
    <s v="ATENDER A LA C. ROSA ICELA GODINEZ CARMONA, QUIEN SOLICITA APOYO PARA LA ADQUISICIÓN DE UN SISTEMA  DE FOTOCELDA PARA EL PREESCOLAR COMUNITARIO MONTESSORI"/>
    <s v="ING. FRANCISCO"/>
    <s v="ALTO"/>
    <d v="2026-03-06T00:00:00"/>
    <x v="0"/>
    <s v="SDE-UCC-07987-26"/>
    <s v="AEEH/DG/202/2026, DE FECHA 10/03/2026, ENVIADO AL ING. OCTAVIO GÓMEZ PAULIN, COORDINADOR DE GESTIÓN INSTITUCIONAL _x000a_AEEH/DG/237/2026, DE FECHA 23/03/2026, ENVIADO AL ING. OCTAVIO GÓMEZ PAULIN, COORDINADOR DE GESTIÓN INSTITUCIONAL _x000a_AEEH/DG/398/2026, DE FECHA 29/04/2026, ENVIADO AL ING. OCTAVIO GÓMEZ PAULIN, COORDINADOR DE GESTIÓN INSTITUCIONAL "/>
    <x v="2"/>
    <s v="N/A"/>
    <s v="N/A"/>
    <s v="N/A"/>
    <s v="N/A"/>
    <s v="N/A"/>
    <s v="N/A"/>
    <s v="N/A"/>
    <s v="CIUDADANO (A)"/>
    <x v="0"/>
    <x v="8"/>
    <s v="35 METEPEC"/>
    <s v="LA LOMA"/>
    <s v="FEMENINO "/>
    <n v="7711966663"/>
    <m/>
    <n v="1"/>
    <n v="10"/>
    <n v="40"/>
    <s v="GOLFO CENTRO"/>
    <s v="ZONA HUEJUTLA "/>
  </r>
  <r>
    <n v="61"/>
    <s v="197"/>
    <x v="1"/>
    <d v="2026-03-04T00:00:00"/>
    <s v="SEDECO/CGI/TI/0250/2026_x000a_SDPEE/DGAP/708/026"/>
    <s v="AEEH-2*1S.1/01-2026_x000a_ASESORIAS EN MATERIA ENERGÉTICA (VARIOS MUNICIPIOS)"/>
    <s v="ATENDER AL C. FERMIN CISNEROS CISNEROS, QUIEN SOLICITA MEDIACIÓN CON AYUNTAMIENTO PARA QUE OTORGUE PERMISOS PARA CONCLUIR LA AMPLIACIÓN DE LA RED ELECTRICA DE SU LOCALIDAD."/>
    <s v="ING. FRANCISCO"/>
    <s v="ALTO"/>
    <d v="2026-03-06T00:00:00"/>
    <x v="0"/>
    <s v="SDE-UC-00017-26_x000a__x000a_SDE-CGI-00253-26"/>
    <s v="AEEH/DG/203/2026, DE FECHA 10/03/2026, ENVIADO AL ING. OCTAVIO GÓMEZ PAULIN."/>
    <x v="0"/>
    <s v="AEEH/DG/310/2026, DE FECHA 10/03/2026, ENVIADO AL MTRO. JESÚS IVÁN RODRÍGUEZ LÓPEZ, SUBDIRECTOR DE INGENIERÍA Y ADMINISTRACIÓN DE LA CONSTRUCCIÓN - CFE"/>
    <s v="SI"/>
    <s v="SDZDDH/00116/2026"/>
    <s v="N/A"/>
    <s v="N/A"/>
    <s v="N/A"/>
    <s v="N/A"/>
    <s v="CIUDADANO (A)"/>
    <x v="0"/>
    <x v="2"/>
    <s v="14 CALNALI"/>
    <s v="Pezmatlan"/>
    <s v="MASCULINO "/>
    <n v="7711126790"/>
    <s v="fermincisneros272@gmail.com"/>
    <n v="1"/>
    <n v="19"/>
    <n v="76"/>
    <s v="GOLFO CENTRO"/>
    <s v="ZONA HUEJUTLA "/>
  </r>
  <r>
    <n v="62"/>
    <s v="227"/>
    <x v="1"/>
    <d v="2026-03-11T00:00:00"/>
    <s v="SEDECO/SIyES/DGES/031/2026_x000a_"/>
    <s v="AEEH-2*1S.4/01-2026 PROMOCIONES TÉCNICAS EN MATERIA ENERGÉTICA (POELP)"/>
    <s v="LA SUBSECRETARIA DE INVERSIONES Y ECONOMIA SECTORIAL SOLICITA LAS COORDENADAS GEOGRAFICAS DE POLIGONOS IDENTIFICADOS PARA EL DERARROLLO DE PROYECTOS U OBRAS PROPUESTAS POR SEDECO (POELP MINERAL DE LA REFORMA)"/>
    <s v="ARQ. DIEGO"/>
    <s v="ALTO"/>
    <d v="2026-03-13T00:00:00"/>
    <x v="0"/>
    <s v="SDE-DGES-00424-26"/>
    <s v="AEEH/DG/224/2026, DE FECHA 23/03/2026, ENVIADO AL ARQ. ERNESTO CADENA ACOSTA_x000a_"/>
    <x v="2"/>
    <s v="N/A"/>
    <s v="N/A"/>
    <s v="N/A"/>
    <s v="N/A"/>
    <s v="N/A"/>
    <s v="N/A"/>
    <s v="N/A"/>
    <s v="DEPENDENCIA ESTATAL "/>
    <x v="1"/>
    <x v="4"/>
    <m/>
    <m/>
    <s v="MASCULINO "/>
    <s v="771 688 6026"/>
    <m/>
    <n v="1"/>
    <n v="1"/>
    <n v="0"/>
    <s v="N/A"/>
    <s v="N/A"/>
  </r>
  <r>
    <n v="63"/>
    <s v="166"/>
    <x v="0"/>
    <d v="2026-02-26T00:00:00"/>
    <s v="TELECOM/CT/070/2026"/>
    <s v="AEEH-2*1S.1/17-2025_x000a_ASESORIAS EN MATERIA DE TELECOMUNICACIONES (VARIOS MUNICIPIOS)"/>
    <s v="SOLICITUDES DE CONECTIVIDAD (TELEFONÍA E INTERNET) A DIVERSAS COMUNIDADES DEL ESTADO DE HIDALGO "/>
    <s v="ARQ. DIEGO"/>
    <s v="ALTO"/>
    <d v="2026-02-26T00:00:00"/>
    <x v="0"/>
    <s v="GESTIÓN 2025_x000a_SDE-AEEH-00333-25"/>
    <s v="AEEH/DG/226/2026, DE FECHA 23/03/2026, ENVIADO A LA MTRA. LILIANA BARRERA JIMÉNEZ_x000a_SUBDIRECTORA DE ESTRATEGIA COMERCIAL "/>
    <x v="1"/>
    <s v="N/A"/>
    <s v="N/A"/>
    <s v="N/A"/>
    <s v="N/A"/>
    <s v="N/A"/>
    <s v="N/A"/>
    <s v="N/A"/>
    <s v="DEPENDENCIA FEDERAL  "/>
    <x v="3"/>
    <x v="9"/>
    <m/>
    <m/>
    <m/>
    <m/>
    <m/>
    <n v="0"/>
    <n v="0"/>
    <n v="0"/>
    <s v="N/A"/>
    <s v="N/A"/>
  </r>
  <r>
    <n v="64"/>
    <s v="203"/>
    <x v="1"/>
    <d v="2026-03-05T00:00:00"/>
    <s v="SEDECO/CGI/TI/0268/2026_x000a__x000a_"/>
    <s v="AEEH-2*1S.1/01-2026_x000a_ASESORIAS EN MATERIA ENERGÉTICA (VARIOS MUNICIPIOS)"/>
    <s v="ATENDER AL C. DANIEL ORTÍZ VÁZQUEZ, QUIEN SOLICITA APOYO PARA EL REEMPLAZO DE LUMINARIAS DE ALUMBRADO PÚBLICO EN SU COMUNIDAD"/>
    <s v="ING. FRANCISCO"/>
    <s v="ALTO"/>
    <d v="2026-03-10T00:00:00"/>
    <x v="0"/>
    <s v="SDE-CGI-00238-26"/>
    <s v="AEEH/DG/232/2026, DE FECHA 23/03/2026, ENVIDO AL ING. OCTAVIO GÓMEZ PAULIN_x000a_"/>
    <x v="1"/>
    <s v="N/A"/>
    <s v="N/A"/>
    <s v="N/A"/>
    <s v="N/A"/>
    <s v="N/A"/>
    <s v="N/A"/>
    <s v="N/A"/>
    <s v="AYUNTAMIENTO  "/>
    <x v="1"/>
    <x v="1"/>
    <s v="35 METEPEC"/>
    <s v="COL. CENTRO "/>
    <s v="MASCULINO "/>
    <n v="7751502897"/>
    <s v="presidencia@metepechidalgo.gob.mx"/>
    <n v="1"/>
    <n v="400"/>
    <n v="1600"/>
    <s v="GOLFO CENTRO"/>
    <s v="ZONA HUEJUTLA "/>
  </r>
  <r>
    <n v="65"/>
    <s v="202"/>
    <x v="1"/>
    <d v="2026-03-05T00:00:00"/>
    <s v="SEDECO/CGI/TI/0256/2026_x000a_SDPEE/DGAP/846/2026"/>
    <s v="AEEH-2*1S.1/01-2026_x000a_ASESORIAS EN MATERIA ENERGÉTICA (VARIOS MUNICIPIOS)"/>
    <s v="ATENDER A LA C. MARÍA FELIX ESPAÑA ROMERO, QUIEN SOLICITA APOYO CON LA INSTALACIÓN DE RED ELECTRICA PARA SU DOMICILIO  "/>
    <s v="ING. FRANCISCO"/>
    <s v="ALTO"/>
    <d v="2026-03-10T00:00:00"/>
    <x v="0"/>
    <s v="SDE-UC-00051-26"/>
    <s v="AEEH/DG/234/2026, DE FECHA 23/03/2026, ENVIADO AL ING. OCTAVIO GÓMEZ PAULIN._x000a__x000a_"/>
    <x v="0"/>
    <s v="AEEH/DG/0731/2026, DE FECHA 03/08/2026, ENVIADO AL ING. HUGO ALEJANDRO ABUNDIS GONZÁLEZ "/>
    <s v="NO"/>
    <s v="N/A"/>
    <s v="N/A"/>
    <s v="N/A"/>
    <s v="N/A"/>
    <s v="N/A"/>
    <s v="CIUDADANO (A)"/>
    <x v="0"/>
    <x v="2"/>
    <s v="4 AGUA BLANCA DE ITURBIDE"/>
    <s v="EJIDO LOMA ANCHA "/>
    <s v="FEMENINO "/>
    <n v="7751099841"/>
    <m/>
    <n v="1"/>
    <n v="1"/>
    <n v="4"/>
    <s v="GOLFO CENTRO"/>
    <s v="ZONA HUEJUTLA "/>
  </r>
  <r>
    <n v="66"/>
    <s v="204"/>
    <x v="1"/>
    <d v="2026-03-05T00:00:00"/>
    <s v="SEDECO/CGI/TI/0268/2026_x000a_SDPEE/DGAP/893/2026"/>
    <s v="AEEH-2*1S.1/01-2026_x000a_ASESORIAS EN MATERIA ENERGÉTICA (VARIOS MUNICIPIOS)"/>
    <s v="ATENDER A FERNADO DEL RAZO OMAÑA, QUIEN SOLICITA APOYO CON LA AMPLIACIÓN DE LA RED ELECTRICA Y ALUMBRADO PÚBLICO EN SU LOCALIDAD."/>
    <s v="ING. FRANCISCO"/>
    <s v="ALTO"/>
    <d v="2026-03-10T00:00:00"/>
    <x v="0"/>
    <s v="SDE-UC-00052-26"/>
    <s v="AEEH/DG/235/2026, DE FECHA 23/03/2026, ENVIADO AL ING. OCTAVIO GÓMEZ PAULIN._x000a_"/>
    <x v="1"/>
    <s v="N/A"/>
    <s v="N/A"/>
    <s v="N/A"/>
    <s v="SI"/>
    <s v="AEEH/DG/453/2026, DE FECHA 20/05/2026, ENVIADO A LA C. MA. YANET FERNÁNDEZ FERNÁNDEZ, PRESIDENTA MUNICIPAL DE SANTIAGO TULANTEPEC"/>
    <s v="N/A"/>
    <s v="N/A"/>
    <s v="CIUDADANO (A)"/>
    <x v="0"/>
    <x v="2"/>
    <s v="56 SANTIAGO TULANTEPEC DE LUGO GUERRERO"/>
    <s v="SAN PEDRO HUATENGO"/>
    <s v="MASCULINO "/>
    <n v="7752244625"/>
    <s v="27fernando.71@gmail.com"/>
    <n v="1"/>
    <n v="33"/>
    <n v="132"/>
    <s v="CENTRO ORIENTE"/>
    <s v="ZONA TULANCINGO"/>
  </r>
  <r>
    <n v="67"/>
    <s v="226"/>
    <x v="1"/>
    <d v="2026-03-11T00:00:00"/>
    <s v="SEDECO/CGI/TI/0299/2026_x000a_SDPEE/DGAP/1066/2026"/>
    <s v="AEEH-2*1S.1/01-2026_x000a_ASESORIAS EN MATERIA ENERGÉTICA (VARIOS MUNICIPIOS)"/>
    <s v="ATENDER AL C. FRANCISCO SIERRA HERNÁNDEZ, QUIEN SOLICITA APOYO CON EL SERVICIO DE ELECTRIFICACIÓN "/>
    <s v="ING. FRANCISCO"/>
    <s v="ALTO"/>
    <d v="2026-03-13T00:00:00"/>
    <x v="0"/>
    <s v="SDE-UC-00115-26"/>
    <s v="AEEH/DG/239/2026, DE FECHA 23/03/2026, ENVIADO AL ING. OCTAVIO GÓMEZ PAULIN._x000a_AEEH/DG/279/2026, DE FECHA 31/03/2026, ENVIADO AL ING. OCTAVIO GÓMEZ PAULIN."/>
    <x v="1"/>
    <s v="N/A"/>
    <s v="N/A"/>
    <s v="N/A"/>
    <s v="N/A"/>
    <s v="N/A"/>
    <s v="N/A"/>
    <s v="N/A"/>
    <s v="CIUDADANO (A)"/>
    <x v="0"/>
    <x v="1"/>
    <s v="9 EL ARENAL"/>
    <s v="OJO DE AGUA"/>
    <s v="MASCULINO "/>
    <n v="6131161333"/>
    <m/>
    <n v="1"/>
    <n v="46"/>
    <n v="184"/>
    <s v="CENTRO ORIENTE"/>
    <s v="ZONA PACHUCA"/>
  </r>
  <r>
    <n v="68"/>
    <s v="224"/>
    <x v="1"/>
    <d v="2026-03-11T00:00:00"/>
    <s v="SEDECO/CGI/TI/0282/2026_x000a_SDPEE/DGAP/993/2026"/>
    <s v="AEEH-2*1S.1/01-2026_x000a_ASESORIAS EN MATERIA ENERGÉTICA (VARIOS MUNICIPIOS)"/>
    <s v="ATENDER AL DELEGADO LEOPOLDO DÍAZ BERISTAIN, QUIEN SOLICITA REALIZAR LA MODERNICACÍON Y AMPLIACIÓN DE LA RED DE ALUMBRADO PÚBLICO DE SU COMUNIDAD"/>
    <s v="ING. FRANCISCO"/>
    <s v="ALTO"/>
    <d v="2026-03-13T00:00:00"/>
    <x v="0"/>
    <s v="SDE-UC-00091-26"/>
    <s v="AEEH/DG/240/2026, DE FECHA 23/03/2026, ENVIADO AL ING. OCTAVIO GÓMEZ PAULIN._x000a_AEEH/DG/277/2026, DE FECHA 31/03/2026, ENVIADO AL ING. OCTAVIO GÓMEZ PAULIN."/>
    <x v="1"/>
    <s v="N/A"/>
    <s v="N/A"/>
    <s v="N/A"/>
    <s v="N/A"/>
    <s v="N/A"/>
    <s v="N/A"/>
    <s v="N/A"/>
    <s v="DELEGADO (A) MUNICIPAL "/>
    <x v="0"/>
    <x v="1"/>
    <s v="8 APAN"/>
    <s v="LÁZARO CARDENAS"/>
    <s v="MASCULINO "/>
    <n v="7712019852"/>
    <m/>
    <n v="1"/>
    <n v="30"/>
    <n v="120"/>
    <s v="CENTRO ORIENTE"/>
    <s v="ZONA TULANCINGO"/>
  </r>
  <r>
    <n v="69"/>
    <s v="233"/>
    <x v="1"/>
    <d v="2026-03-13T00:00:00"/>
    <s v="SEDECO/CGI/TI/0307/2026_x000a_SDPEE/DGAP/1139/2026"/>
    <s v="AEEH-2*1S.1/01-2026_x000a_ASESORIAS EN MATERIA ENERGÉTICA (VARIOS MUNICIPIOS)"/>
    <s v="ATENDER A JUAN CARLOS VITE GUERRERO, QUIEN SOLICITA LA DONACIÓN DE 15 LAMPARAS DE ALUMBRADO PUBLICO."/>
    <s v="ING. FRANCISCO"/>
    <s v="ALTO"/>
    <d v="2026-03-19T00:00:00"/>
    <x v="0"/>
    <s v="SDE-UC-00135-26"/>
    <s v="AEEH/DG/243/2026, DE FECHA 23/03/2026,  ENVIADO AL ING. OCTAVIO GOMEZ PAULIN _x000a_AEEH/DG/280/2026, DE FECHA 31/03/2026, ENVIADO AL ING. OCTAVIO GOMEZ PAULIN "/>
    <x v="2"/>
    <s v="N/A"/>
    <s v="N/A"/>
    <s v="N/A"/>
    <s v="N/A"/>
    <s v="N/A"/>
    <s v="N/A"/>
    <s v="N/A"/>
    <s v="CIUDADANO (A)"/>
    <x v="0"/>
    <x v="1"/>
    <s v="2 ACAXOCHITLÁN"/>
    <s v="TECOJOTAL"/>
    <s v="MASCULINO "/>
    <n v="7712089709"/>
    <s v="viteguerrerojuancarlos@gmail.com"/>
    <n v="1"/>
    <n v="203"/>
    <n v="810"/>
    <s v="CENTRO ORIENTE"/>
    <s v="ZONA TULANCINGO"/>
  </r>
  <r>
    <n v="70"/>
    <s v="258"/>
    <x v="1"/>
    <d v="2026-03-20T00:00:00"/>
    <s v="SEDECO/CGI/TI/0349/2026_x000a_SDPEE/DGAP/1394/2026"/>
    <s v="AEEH-2*1S.1/01-2026_x000a_ASESORIAS EN MATERIA ENERGÉTICA (VARIOS MUNICIPIOS)"/>
    <s v="ATENDER A LA C. MA. EUGENIA MONROY LOPEZ, QUIEN SOLICITA APOYO PARA QUE SU VIVIENDA CUENTE CON SERVICIO DE ENERGIA ELECTRICA "/>
    <s v="ING. FRANCISCO"/>
    <s v="ALTO"/>
    <d v="2026-03-24T00:00:00"/>
    <x v="0"/>
    <s v="SDE-UC-00191-26"/>
    <s v="AEEH/DG/257/2026, DE FECHA 27/03/2026, ENVIADO AL ING. OCTAVIO GOMEZ PAULIN. _x000a_AEEH/DG/303/2026, DE FECHA 08/04/2026, ENVIADO AL ING. OCTAVIO GOMEZ PAULIN COORDINADOR DE GESTION INSTITUCIONAL._x000a_"/>
    <x v="1"/>
    <s v="N/A"/>
    <s v="N/A"/>
    <s v="N/A"/>
    <s v="SI"/>
    <s v="AEEH/DG/392/2026, DE FECHA 28/04/2026, ENVIADO A LA C. MA. EUGENIA MONROY LÓPEZ, PETICIONARIA DEL MUNICIPIO DE TEPEAPULCO."/>
    <s v="NO"/>
    <s v="N/A"/>
    <s v="CIUDADANO (A)"/>
    <x v="0"/>
    <x v="2"/>
    <s v="61 TEPEAPULCO"/>
    <s v="SAHAGUN"/>
    <s v="FEMENINO "/>
    <n v="7713932455"/>
    <m/>
    <n v="1"/>
    <n v="1"/>
    <n v="4"/>
    <s v="CENTRO ORIENTE"/>
    <s v="ZONA TULANCINGO"/>
  </r>
  <r>
    <n v="71"/>
    <s v="253"/>
    <x v="1"/>
    <d v="2026-03-20T00:00:00"/>
    <s v="SEDECO/CGI/TI/0317/2026_x000a_SDPEE/DGAP/1203/2026"/>
    <s v="AEEH-2*1S.1/01-2026_x000a_ASESORIAS EN MATERIA ENERGÉTICA (VARIOS MUNICIPIOS)"/>
    <s v="ATENDER A LA C. MARIA FELIX GALICIA CHILINO, QUIEN SOLICITA APOYO PARA ACCEDER AL SERVICIO DE ENERGIA ELECTRICA EN SU DOMICILIO "/>
    <s v="ING. FRANCISCO"/>
    <s v="ALTO"/>
    <d v="2026-03-24T00:00:00"/>
    <x v="0"/>
    <s v="SDE-UC-00137-26"/>
    <s v="AEEH/DG/258/2026, DE FECHA 27/03/2026, ENVIADO AL ING. OCTAVIO GÓMEZ PAULIN._x000a_"/>
    <x v="0"/>
    <s v="AEEH/DG/308/2026, DE FECHA 10/04/2026, ENVIADO AL ING. GILBERTO LEÓN ORDAZ, SUPERINTENDENTE EF - CFE ZONA TULANCINGO "/>
    <s v="SI"/>
    <s v="GLO-099-2026"/>
    <s v="N/A"/>
    <s v="N/A"/>
    <s v="N/A"/>
    <s v="N/A"/>
    <s v="CIUDADANO (A)"/>
    <x v="0"/>
    <x v="2"/>
    <s v="2 ACAXOCHITLÁN"/>
    <s v="TLAMIMILOLPA"/>
    <s v="FEMENINO "/>
    <n v="7711222241"/>
    <m/>
    <n v="1"/>
    <n v="1"/>
    <n v="4"/>
    <s v="CENTRO ORIENTE"/>
    <s v="ZONA TULANCINGO"/>
  </r>
  <r>
    <n v="72"/>
    <s v="257"/>
    <x v="1"/>
    <d v="2026-03-20T00:00:00"/>
    <s v="SEDECO/CGI/TI/0347/2026_x000a_SDPEE/DGAP/1403/2026"/>
    <s v="AEEH-2*1S.1/01-2026_x000a_ASESORIAS EN MATERIA ENERGÉTICA (VARIOS MUNICIPIOS)"/>
    <s v="ATENDER AL C. FEDERICO ALFREDO CAZAREZ LOPEZ, QUIEN SOLICITA APOYO PARA REUBICAR UN POSTE DE ENERGIA ELECTRICA QUE SE ENCUENTRA EN SU PROPIEDAD."/>
    <s v="ING. FRANCISCO"/>
    <s v="ALTO"/>
    <d v="2026-03-24T00:00:00"/>
    <x v="0"/>
    <s v="SDE-UC-00198-26"/>
    <s v="AEEH/DG/259/2026, DE FECHA 27/03/2026, ENVIADO AL ING. OCTAVIO GÓMEZ PAULIN._x000a_AEEH/DG/290/2026, DE FECHA 06/04/2026, ENVIADO AL ING. OCTAVIO GÓMEZ PAULIN._x000a_"/>
    <x v="0"/>
    <s v="AEEH/DG/307/2026, DE FECHA 10/04/2026, ENVIADO AL ING. GILBERTO LEON ORDAZ SUPERINTENDENTE EF - CFE ZONA TULANCINGO"/>
    <s v="SI"/>
    <s v="MMHR-223-2026_x000a_GLO-123-2026"/>
    <s v="N/A"/>
    <s v="N/A"/>
    <s v="N/A"/>
    <s v="N/A"/>
    <s v="CIUDADANO (A)"/>
    <x v="0"/>
    <x v="3"/>
    <s v="61 TEPEAPULCO"/>
    <m/>
    <s v="MASCULINO "/>
    <n v="7911003559"/>
    <s v="CITLALLI.CAZARESDEJESUS@GMAIL.COM"/>
    <n v="1"/>
    <n v="1"/>
    <n v="4"/>
    <s v="CENTRO ORIENTE"/>
    <s v="ZONA TULANCINGO"/>
  </r>
  <r>
    <n v="73"/>
    <s v="259"/>
    <x v="1"/>
    <d v="2026-03-20T00:00:00"/>
    <s v="SEDECO/CGI/TI/0353/2026_x000a_SDPEE/DGAP/1414/2026"/>
    <s v="AEEH-2*1S.1/01-2026_x000a_ASESORIAS EN MATERIA ENERGÉTICA (VARIOS MUNICIPIOS)"/>
    <s v="ATENDER A LA C. JULIA CALZADA, QUIEN SOLICITA LA COLOCACIÓN DE LUMINARIAS EN LA AVENIDA PRINCIPAL DE SU LOCALIDAD"/>
    <s v="ING. FRANCISCO"/>
    <s v="ALTO"/>
    <d v="2026-03-24T00:00:00"/>
    <x v="0"/>
    <s v="SDE-UC-00201-26"/>
    <s v="AEEH/DG/260/2026, DE FECHA 27/03/2026, ENVIADO AL ING. OCTAVIO GÓMEZ PAULIN._x000a_AEEH/DG/291/2026, DE FECHA 06/04/2026, ENVIADO AL ING. OCTAVIO GÓMEZ PAULIN."/>
    <x v="1"/>
    <s v="N/A"/>
    <s v="N/A"/>
    <s v="N/A"/>
    <s v="N/A"/>
    <s v="N/A"/>
    <s v="N/A"/>
    <s v="N/A"/>
    <s v="CIUDADANO (A)"/>
    <x v="0"/>
    <x v="1"/>
    <s v="61 TEPEAPULCO"/>
    <m/>
    <s v="FEMENINO "/>
    <n v="5614833301"/>
    <m/>
    <n v="1"/>
    <n v="37.5"/>
    <n v="150"/>
    <s v="CENTRO ORIENTE"/>
    <s v="ZONA TULANCINGO"/>
  </r>
  <r>
    <n v="74"/>
    <s v="251"/>
    <x v="1"/>
    <d v="2026-03-19T00:00:00"/>
    <s v="SEDECO/CAYP/0366/2026"/>
    <s v="AEEH-2*1S.3/06-2026_x000a_PROYECTO DE OFICINAS DE LA AEEH"/>
    <s v="SOLICITUD DE INFORMACIÓN PARA EL PROYECTO DE LA REUBICACIÓN DE LAS OFICINAS DE LA SECRETARÍA DE DESARROLLO ECONOMICO Y ORGANISMOS DESCENTRALIZADOS "/>
    <s v="ARQ. DIEGO"/>
    <s v="ALTO"/>
    <d v="2026-03-24T00:00:00"/>
    <x v="0"/>
    <s v="SDE-SRMAT-00254-26"/>
    <s v="AEEH/DG/262/2026, DE FECHA 27/03/2026, ENVIADO A LA MTRA. JESSICA ESPERANZA GONZÁLEZ DÍAZ, COORDINADORA DE ADMINISTRACIÓN Y PLANEACIÓN DE SEDECO "/>
    <x v="2"/>
    <s v="N/A"/>
    <s v="N/A"/>
    <s v="N/A"/>
    <s v="N/A"/>
    <s v="N/A"/>
    <s v="N/A"/>
    <s v="N/A"/>
    <s v="DEPENDENCIA ESTATAL "/>
    <x v="1"/>
    <x v="4"/>
    <m/>
    <m/>
    <s v="FEMENINO "/>
    <m/>
    <m/>
    <n v="1"/>
    <n v="1"/>
    <n v="0"/>
    <s v="N/A"/>
    <s v="N/A"/>
  </r>
  <r>
    <n v="75"/>
    <s v="256"/>
    <x v="1"/>
    <d v="2026-03-20T00:00:00"/>
    <s v="SEDECO/CGI/TI/0325/2026_x000a_SDPEE/DGAP/1317/2026"/>
    <s v="AEEH-2*1S.1/01-2026_x000a_ASESORIAS EN MATERIA ENERGÉTICA (VARIOS MUNICIPIOS)"/>
    <s v="ATENDER AL C. JOEL SANCHEZ SANTOS, QUIEN SOLICITA APOYO PARA QUE PUEDA CONTAR CON SERVICIO DE ENERGIA ELÉCTRICA EN SU LOCALIDAD"/>
    <s v="ING. FRANCISCO"/>
    <s v="ALTO"/>
    <d v="2026-03-24T00:00:00"/>
    <x v="0"/>
    <s v="SDE-UC-00173-26"/>
    <s v="AEEH/DG/282/2026, DE FECHA 31/03/2026, ENVIADO AL ING. OCTAVIO GÓMEZ PAULIN._x000a_AEEH/DG/289/2026, DE FECHA 06/04/2026, ENVIADO AL ING. OCTAVIO GÓMEZ PAULIN."/>
    <x v="1"/>
    <s v="N/A"/>
    <s v="N/A"/>
    <s v="N/A"/>
    <s v="N/A"/>
    <s v="N/A"/>
    <s v="N/A"/>
    <s v="N/A"/>
    <s v="CIUDADANO (A)"/>
    <x v="0"/>
    <x v="2"/>
    <s v="83 ZEMPOALA"/>
    <s v="LA OLLA "/>
    <s v="MASCULINO "/>
    <n v="7711501712"/>
    <s v="smarikarla@yahoo.com.mx"/>
    <n v="1"/>
    <n v="17"/>
    <n v="67"/>
    <s v="CENTRO ORIENTE"/>
    <s v="ZONA PACHUCA"/>
  </r>
  <r>
    <n v="76"/>
    <s v="268"/>
    <x v="1"/>
    <d v="2026-03-30T00:00:00"/>
    <s v="SEDECO/CGI/TI/0365/2026_x000a_SDPEE/DGAP/1511/2026"/>
    <s v="AEEH-2*1S.1/01-2026_x000a_ASESORIAS EN MATERIA ENERGÉTICA (VARIOS MUNICIPIOS)"/>
    <s v="ATENDER A LUCILA ISLAS GUTIERREZ, CON LA OBRA &quot;AMPLIACIÓN DE RED DE LUZ ELECTRICA&quot;"/>
    <s v="ING. FRANCISCO"/>
    <s v="ALTO"/>
    <d v="2026-03-30T00:00:00"/>
    <x v="0"/>
    <s v="SDE-UC-00236-26"/>
    <s v="AEEH/DG/292/2026, DE FECHA 06/04/2026, ENVIADO AL ING. OCTAVIO GÓMEZ PAULIN._x000a_ "/>
    <x v="0"/>
    <s v="AEEH/DG/347/2026, DE FECHA 17/04/2026, ENVIADO AL ING. VÍCTOR ISRAEL ALARCÓN HEREDIA, SUPERINTENDETNE DE LA CFE ZONA PACHUCA"/>
    <s v="SI"/>
    <s v="MMHR-245-2026"/>
    <s v="N/A"/>
    <s v="N/A"/>
    <s v="N/A"/>
    <s v="N/A"/>
    <s v="CIUDADANO (A)"/>
    <x v="0"/>
    <x v="2"/>
    <s v="83 ZEMPOALA"/>
    <s v="COL. SAN RAFAEL "/>
    <s v="FEMENINO "/>
    <n v="5536444499"/>
    <m/>
    <n v="1"/>
    <n v="10"/>
    <n v="40"/>
    <s v="CENTRO ORIENTE"/>
    <s v="ZONA PACHUCA"/>
  </r>
  <r>
    <n v="77"/>
    <s v="269"/>
    <x v="1"/>
    <d v="2026-03-30T00:00:00"/>
    <s v="SEDECO/CGI/TI/0366/2026_x000a_SDPEE/DGAP/1512/2026"/>
    <s v="AEEH-2*1S.1/01-2026_x000a_ASESORIAS EN MATERIA ENERGÉTICA (VARIOS MUNICIPIOS)"/>
    <s v="ATENDER A LUCIA ISLAS GUTIERREZ, QUIEN SOLICITA APOYO CON LA INSTALACIÓN DE 10 LAMPARAS DE ALUMBRADO PÚBLICO EN SU COLONIA."/>
    <s v="ING. FRANCISCO"/>
    <s v="ALTO"/>
    <d v="2026-03-30T00:00:00"/>
    <x v="0"/>
    <s v="SDE-UC-00235-26"/>
    <s v="AEEH/DG/293/2026, DE FECHA 06/04/2026, ENVIADO AL ING. OCTAVIO GÓMEZ PAULIN._x000a_"/>
    <x v="1"/>
    <s v="N/A"/>
    <s v="N/A"/>
    <s v="N/A"/>
    <s v="SI "/>
    <s v="AEEH/DG/391/2026, DE FECHA 28/04/2026, ENVIADO AL DR. FÉLIX ÁVILA CASTELÁN, PRESIDENTE MUNICIPAL CONSTITUCIONAL DE TEPEAPULCO."/>
    <s v="NO"/>
    <s v="N/A"/>
    <s v="CIUDADANO (A)"/>
    <x v="0"/>
    <x v="1"/>
    <s v="83 ZEMPOALA"/>
    <s v="COL. SAN RAFAEL "/>
    <s v="FEMENINO "/>
    <n v="5536444499"/>
    <m/>
    <n v="1"/>
    <n v="25"/>
    <n v="100"/>
    <s v="CENTRO ORIENTE"/>
    <s v="ZONA PACHUCA"/>
  </r>
  <r>
    <n v="78"/>
    <s v="270"/>
    <x v="1"/>
    <d v="2026-03-30T00:00:00"/>
    <s v="SEDECO/CGI/TI/0367/2026_x000a_SDPEE/DGAP/1532/2026"/>
    <s v="AEEH-2*1S.1/01-2026_x000a_ASESORIAS EN MATERIA ENERGÉTICA (VARIOS MUNICIPIOS)"/>
    <s v="ATENDER A JORGE ANTONIO CRAVIOTO BAUTISTA, QUIEN SOLICITA LA COLOCACIÓN DE 5 POSTES PARA LA AMPLIACIÓN DE LUZ EN SU COLONIA."/>
    <s v="ING. FRANCISCO"/>
    <s v="ALTO"/>
    <d v="2026-03-30T00:00:00"/>
    <x v="0"/>
    <s v="SDE-UC-00237-26"/>
    <s v="AEEH/DG/294/2026, DE FECHA 06/04/2026, ENVIADO AL ING. OCTAVIO GÓMEZ PAULIN._x000a_AEEH/DG/343/2026, DE FECHA 17/04/2026, ENVIADO AL ING. OCTAVIO GÓMEZ PAULIN."/>
    <x v="1"/>
    <s v="N/A"/>
    <s v="N/A"/>
    <s v="N/A"/>
    <s v="N/A"/>
    <s v="N/A"/>
    <s v="N/A"/>
    <s v="N/A"/>
    <s v="CIUDADANO (A)"/>
    <x v="0"/>
    <x v="2"/>
    <s v="83 ZEMPOALA"/>
    <s v="SAN JUAN TEPEMAZALCO"/>
    <s v="MASCULINO "/>
    <n v="7717734654"/>
    <m/>
    <n v="1"/>
    <n v="20"/>
    <n v="80"/>
    <s v="CENTRO ORIENTE"/>
    <s v="ZONA PACHUCA"/>
  </r>
  <r>
    <n v="79"/>
    <s v="271"/>
    <x v="1"/>
    <d v="2026-03-30T00:00:00"/>
    <s v="SEDECO/CGI/TI/0368/2026_x000a_SDPEE/DGAP/1568/2026"/>
    <s v="AEEH-2*1S.1/01-2026_x000a_ASESORIAS EN MATERIA ENERGÉTICA (VARIOS MUNICIPIOS)"/>
    <s v="ATENDER A MARIA DE JESUS DE LUCIO IBARRA, QUIEN SOLICITA LA COLOCACIÓN DE 2 POSTES DE LUZ PARA LA AMPLIACIÓN DE ENERGIA ELECTRICA EN SU COMUNIDAD "/>
    <s v="ING. FRANCISCO"/>
    <s v="ALTO"/>
    <d v="2026-03-30T00:00:00"/>
    <x v="0"/>
    <s v="SDE-UC-00242-26"/>
    <s v="AEEH/DG/295/2026, DE FECHA 06/04/2026, ENVIADO AL ING. OCTAVIO GÓMEZ PAULIN._x000a_AEEH/DG/344/2026, DE FECHA 17/04/2026, ENVIADO AL ING. OCTAVIO GÓMEZ PAULIN."/>
    <x v="1"/>
    <s v="N/A"/>
    <s v="N/A"/>
    <s v="N/A"/>
    <s v="N/A"/>
    <s v="N/A"/>
    <s v="N/A"/>
    <s v="N/A"/>
    <s v="CIUDADANO (A)"/>
    <x v="0"/>
    <x v="2"/>
    <s v="83 ZEMPOALA"/>
    <s v="TEPEYAHUALCO "/>
    <s v="FEMENINO "/>
    <n v="7711235578"/>
    <m/>
    <n v="1"/>
    <n v="10"/>
    <n v="40"/>
    <s v="CENTRO ORIENTE"/>
    <s v="ZONA PACHUCA"/>
  </r>
  <r>
    <n v="80"/>
    <s v="272"/>
    <x v="1"/>
    <d v="2026-03-30T00:00:00"/>
    <s v="SEDECO/CGI/TI/0369/2026_x000a_SDPEE/DGAP/1605/2026"/>
    <s v="AEEH-2*1S.1/01-2026_x000a_ASESORIAS EN MATERIA ENERGÉTICA (VARIOS MUNICIPIOS)"/>
    <s v="ATENDER A ERNESTO VÁZQUEZ GÓMEZ, QUIEN SOLICITA LA ELECTRIFICACIÓN DE DIVERSAS CALLES DE SU LOCALIDAD "/>
    <s v="ING. FRANCISCO"/>
    <s v="ALTO"/>
    <d v="2026-03-30T00:00:00"/>
    <x v="0"/>
    <s v="SDE-UC-00257-26"/>
    <s v="AEEH/DG/296/2026, DE FECHA 06/04/2026, ENVIADO AL ING. OCTAVIO GÓMEZ PAULIN._x000a_AEEH/DG/345/2026, DE FECHA 17/04/2026, ENVIADO AL ING. OCTAVIO GÓMEZ PAULIN."/>
    <x v="2"/>
    <s v="N/A"/>
    <s v="N/A"/>
    <s v="N/A"/>
    <s v="N/A"/>
    <s v="N/A"/>
    <s v="N/A"/>
    <s v="N/A"/>
    <s v="CIUDADANO (A)"/>
    <x v="0"/>
    <x v="1"/>
    <s v="22 EPAZOYUCAN"/>
    <s v="SAN JUAN TIZAHUAPAN "/>
    <s v="MASCULINO "/>
    <n v="7711099070"/>
    <m/>
    <n v="1"/>
    <n v="50"/>
    <n v="200"/>
    <s v="CENTRO ORIENTE"/>
    <s v="ZONA PACHUCA"/>
  </r>
  <r>
    <n v="81"/>
    <s v="274"/>
    <x v="1"/>
    <d v="2026-03-30T00:00:00"/>
    <s v="SEDECO/CGI/TI/0375/2026_x000a_SDPEE/DGAP/1629/2026"/>
    <s v="AEEH-2*1S.1/01-2026_x000a_ASESORIAS EN MATERIA ENERGÉTICA (VARIOS MUNICIPIOS)"/>
    <s v="ATENDER A GERMAN PEREZ BAUTISTA, QUIEN SOLICITA LA INTERVENCIÓN ANTE CFE PARA LA OBRA DE AMPLICIACIÓN DE RED ELECTRICA."/>
    <s v="ING. FRANCISCO"/>
    <s v="ALTO"/>
    <d v="2026-03-30T00:00:00"/>
    <x v="0"/>
    <s v="SDE-UC-00260-26"/>
    <s v="AEEH/DG/297/2026, DE FECHA 06/04/2026, ENVIADO AL ING. OCTAVIO GÓMEZ PAULIN._x000a_AEEH/DG/346/2026, DE FECHA 17/04/2026, ENVIADO AL ING. OCTAVIO GÓMEZ PAULIN._x000a_AEEH/DG/506/2026, DE FECHA 05/06/2026, ENVIADO AL ING. OCTAVIO GÓMEZ PAULIN."/>
    <x v="1"/>
    <s v="N/A"/>
    <s v="N/A"/>
    <s v="N/A"/>
    <s v="N/A"/>
    <s v="N/A"/>
    <s v="N/A"/>
    <s v="N/A"/>
    <s v="CIUDADANO (A)"/>
    <x v="0"/>
    <x v="2"/>
    <s v="83 ZEMPOALA"/>
    <s v="SAN AGUSTIN ZAPOTLAN"/>
    <s v="MASCULINO "/>
    <n v="7712469060"/>
    <m/>
    <n v="1"/>
    <n v="67"/>
    <n v="265"/>
    <s v="CENTRO ORIENTE"/>
    <s v="ZONA PACHUCA"/>
  </r>
  <r>
    <n v="82"/>
    <s v="285"/>
    <x v="2"/>
    <d v="2026-04-07T00:00:00"/>
    <s v="SEDECO/CGI/TI/0402/2026_x000a_SDPEE/DGAP/1674/2026"/>
    <s v="AEEH-2*1S.1/01-2026_x000a_ASESORIAS EN MATERIA ENERGÉTICA (VARIOS MUNICIPIOS)"/>
    <s v="ATENDER A LA C. ANDREA GONZALEZ HERNÁNDEZ, QUIEN SOLICITA MANGUERA NEUTRAL O AISLAR PARA PONERLE A LAS LINEAS DEL POSTE DE LUZ QUE ATRAVIESA LA AZOTEA DE SU CASA."/>
    <s v="ING. FRANCISCO"/>
    <s v="ALTO"/>
    <d v="2026-04-07T00:00:00"/>
    <x v="0"/>
    <s v="SDE-UC-00307-26"/>
    <s v="AEEH/DG/312/2026, DE FECHA 10/04/2026, ENVIADO AL ING. OCTAVIO GÓMEZ PAULIN COORDINADOR DE GESTIÓN INSTITUCIONAL _x000a_AEEH/DG/354/2026, DE FECHA 21/04/2026, ENVIADO AL ING. OCTAVIO GÓMEZ PAULIN COORDINADOR DE GESTIÓN INSTITUCIONAL _x000a_"/>
    <x v="0"/>
    <s v="AEEH/DG/0731/2026, DE FECHA 03/08/2026, ENVIADO AL ING. HUGO ALEJANDRO ABUNDIS GONZÁLEZ, SUPERINTENDENTE DE LA COMISIÓN FEDERAL DE ELECTRICIDAD "/>
    <s v="NO"/>
    <s v="N/A"/>
    <s v="N/A"/>
    <s v="N/A"/>
    <s v="N/A"/>
    <s v="N/A"/>
    <s v="CIUDADANO (A)"/>
    <x v="0"/>
    <x v="5"/>
    <s v="68 TIANGUISTENGO"/>
    <s v="TECHIMAL "/>
    <s v="FEMENINO "/>
    <n v="8110657579"/>
    <s v="andreagonzalez46960@gmail.com"/>
    <n v="1"/>
    <n v="1"/>
    <n v="4"/>
    <s v="GOLFO CENTRO"/>
    <s v="ZONA HUEJUTLA "/>
  </r>
  <r>
    <n v="83"/>
    <s v="289"/>
    <x v="2"/>
    <d v="2026-04-07T00:00:00"/>
    <s v="SEDECO/CGI/TI/0406/2026_x000a_SDPEE/DGAP/1823/2026"/>
    <s v="AEEH-2*1S.1/01-2026_x000a_ASESORIAS EN MATERIA ENERGÉTICA (VARIOS MUNICIPIOS)"/>
    <s v="ATENDER AL DELEGADO VICENTE CALLEJAS ZAMUDIO, QUIEN SOLICITA EL MEJORAMIENTO DE LA RED DE ENERGIA YA QUE EL VOLTAJE NO ES SUFICIENTE."/>
    <s v="ING. FRANCISCO"/>
    <s v="ALTO"/>
    <d v="2026-04-07T00:00:00"/>
    <x v="0"/>
    <s v="SDE-UC-00318-26"/>
    <s v="AEEH/DG/313/2026, DE FECHA 10/04/2026, ENVIADO AL ING. OCTAVIO GÓMEZ PAULIN COORDINADOR DE GESTIÓN INSTITUCIONAL._x000a_"/>
    <x v="0"/>
    <s v="AEEH/DG/385/2026, DE FECHA 28/04/2026, ENVIADO AL ING. ALEJANDRO YUSULMAN HERNÁNDEZ LEAL, SUPERINTENDENTE DE CFE DISTRIBUCIÓN ZONA IXMIQUILPAN."/>
    <s v="NO"/>
    <s v="N/A"/>
    <s v="N/A"/>
    <s v="N/A"/>
    <s v="N/A"/>
    <s v="N/A"/>
    <s v="DELEGADO (A) MUNICIPAL "/>
    <x v="0"/>
    <x v="3"/>
    <s v="6 ALFAJAYUCAN"/>
    <s v="XOTHE"/>
    <s v="MASCULINO "/>
    <n v="77121367168"/>
    <m/>
    <n v="1"/>
    <n v="50"/>
    <n v="200"/>
    <s v="DIVISION BAJIO"/>
    <s v="ZONA IXMIQUILPAN"/>
  </r>
  <r>
    <n v="84"/>
    <s v="288"/>
    <x v="2"/>
    <d v="2026-04-07T00:00:00"/>
    <s v="SEDECO/CGI/TI/0405/2026_x000a_SDPEE/DGAP/1818/2026"/>
    <s v="AEEH-2*1S.1/01-2026_x000a_ASESORIAS EN MATERIA ENERGÉTICA (VARIOS MUNICIPIOS)"/>
    <s v="ATENDER A OMAR RAMIREZ SAN JUAN, QUIEN SOLICITA ELECTRIFICACIÓN EN CAMINO RURAL DE SU LOCALIDAD "/>
    <s v="ING. FRANCISCO"/>
    <s v="ALTO"/>
    <d v="2026-04-07T00:00:00"/>
    <x v="0"/>
    <s v="SDE-UC-00317-26"/>
    <s v="AEEH/DG/314/2026, DE FECHA 10/04/2026, ENVIADO AL ING. OCTAVIO GÓMEZ PAULIN COORDINADOR DE GESTIÓN INSTITUCIONAL _x000a_AEEH/DG/353/2026, DE FECHA 21/04/2026, ENVIADO AL ING. OCTAVIO GÓMEZ PAULIN COORDINADOR DE GESTIÓN INSTITUCIONAL "/>
    <x v="1"/>
    <s v="N/A"/>
    <s v="N/A"/>
    <s v="N/A"/>
    <s v="N/A"/>
    <s v="N/A"/>
    <s v="N/A"/>
    <s v="N/A"/>
    <s v="CIUDADANO (A)"/>
    <x v="0"/>
    <x v="2"/>
    <s v="58 TASQUILLO"/>
    <s v="CANDHO"/>
    <s v="MASCULINO "/>
    <n v="7721165773"/>
    <m/>
    <n v="1"/>
    <n v="5"/>
    <n v="20"/>
    <s v="DIVISION BAJIO"/>
    <s v="ZONA IXMIQUILPAN"/>
  </r>
  <r>
    <n v="85"/>
    <s v="286"/>
    <x v="2"/>
    <d v="2026-04-07T00:00:00"/>
    <s v="SEDECO/CGI/TI/0403/2026_x000a_SDPEE/DGAP/1773/2026"/>
    <s v="AEEH-2*1S.1/01-2026_x000a_ASESORIAS EN MATERIA ENERGÉTICA (VARIOS MUNICIPIOS)"/>
    <s v="ATENDER A LA C. ÁNGELA GARCÍA ORTÍZ, QUIEN SOLICITA APOYO PARA LA ILUMINACIÓN DEL BOULEVARD UBICADO EN LA ENTRADA DE SU MUNICIPIO "/>
    <s v="ING. FRANCISCO"/>
    <s v="ALTO"/>
    <d v="2026-04-07T00:00:00"/>
    <x v="0"/>
    <s v="SDE-UC-00310-26"/>
    <s v="AEEH/DG/315/2026, DE FECHA 10/04/2026, ENVIADO AL ING. OCTAVIO GÓMEZ PAULIN COORDINADOR DE GESTIÓN INSTITUCIONAL _x000a_AEEH/DG/366/2026, DE FECHA 21/04/2026, ENVIADO AL ING. OCTAVIO GÓMEZ PAULIN COORDINADOR DE GESTIÓN INSTITUCIONAL "/>
    <x v="1"/>
    <s v="N/A"/>
    <s v="N/A"/>
    <s v="N/A"/>
    <s v="N/A"/>
    <s v="N/A"/>
    <s v="N/A"/>
    <s v="N/A"/>
    <s v="CIUDADANO (A)"/>
    <x v="0"/>
    <x v="1"/>
    <s v="44 NOPALA DE VILLAGRÁN"/>
    <s v="COL. LA PRESA"/>
    <s v="FEMENINO "/>
    <n v="5534881345"/>
    <m/>
    <n v="1"/>
    <n v="270"/>
    <n v="1080"/>
    <s v="DIVISION BAJIO"/>
    <s v="ZONA IXMIQUILPAN"/>
  </r>
  <r>
    <n v="86"/>
    <s v="290"/>
    <x v="2"/>
    <d v="2026-04-07T00:00:00"/>
    <s v="SEDECO/CGI/TI/0407/2026_x000a_SDPEE/DGAP/1806/2026"/>
    <s v="AEEH-2*1S.1/01-2026_x000a_ASESORIAS EN MATERIA ENERGÉTICA (VARIOS MUNICIPIOS)"/>
    <s v="ATENDER A ARTURO OLGUIN NICOLAS, QUIEN SOLICITA 20 LAMPARAS PARA LA CALLE MORELOS."/>
    <s v="ING. FRANCISCO"/>
    <s v="ALTO"/>
    <d v="2026-04-07T00:00:00"/>
    <x v="0"/>
    <s v="SDE-UC-00313-26"/>
    <s v="AEEH/DG/316/2026, DE FECHA 10/04/2026, ENVIADO AL ING. OCTAVIO GÓMEZ PAULIN COORDINADOR DE GESTIÓN INSTITUCIONAL._x000a__x000a_"/>
    <x v="1"/>
    <s v="N/A"/>
    <s v="N/A"/>
    <s v="N/A"/>
    <s v="SI"/>
    <s v="AEEH/DG/390/2026, DE FECHA 28/04/2026, ENVIADO AL ING. JULIO AGUSTÍN CRUZ TOVAR, PRESIDENTE MUNICIPAL CONSTITUCIONAL DE ALFAJACUYAN."/>
    <s v="NO"/>
    <s v="N/A"/>
    <s v="CIUDADANO (A)"/>
    <x v="0"/>
    <x v="6"/>
    <s v="6 ALFAJAYUCAN"/>
    <s v="ZOZEA"/>
    <s v="MASCULINO "/>
    <n v="7712055444"/>
    <m/>
    <n v="1"/>
    <n v="25"/>
    <n v="100"/>
    <s v="DIVISION BAJIO"/>
    <s v="ZONA IXMIQUILPAN"/>
  </r>
  <r>
    <n v="87"/>
    <s v="296"/>
    <x v="2"/>
    <d v="2026-04-07T00:00:00"/>
    <s v="SEDECO/CGI/TI/0419/2026_x000a_SDPEE/DGAP/1922/2026"/>
    <s v="AEEH-2*1S.1/01-2026_x000a_ASESORIAS EN MATERIA ENERGÉTICA (VARIOS MUNICIPIOS)"/>
    <s v="ATENDER A RENÉ GARCÍA MATÍAS, QUIEN SOLICITA ENERGIA ELECTRICA PARA SU COMUNIDAD "/>
    <s v="ING. FRANCISCO"/>
    <s v="ALTO"/>
    <d v="2026-04-07T00:00:00"/>
    <x v="0"/>
    <s v=" SDE-UC-00360-26"/>
    <s v="AEEH/DG/317/2026, DE FECHA 10/04/2026, ENVIADO AL ING. OCTAVIO GÓMEZ PAULIN COORDINADOR DE GESTIÓN INSTITUCIONAL _x000a_ AEEH/DG/355/2026, DE FECHA 21/04/2026, ENVIADO AL ING. OCTAVIO GÓMEZ PAULIN COORDINADOR DE GESTIÓN INSTITUCIONAL "/>
    <x v="0"/>
    <s v="AEEH/DG/0731/2026, DE FECHA 03/08/2026, ENVIADO AL ING. HUGO ALEJANDRO ABUNDIS GONZÁLEZ "/>
    <s v="NO"/>
    <s v="N/A"/>
    <s v="N/A"/>
    <s v="N/A"/>
    <s v="N/A"/>
    <s v="N/A"/>
    <s v="CIUDADANO (A)"/>
    <x v="0"/>
    <x v="3"/>
    <s v="53 SAN BARTOLO TUTOTEPEC"/>
    <s v="EL JOVIÓN"/>
    <s v="MASCULINO "/>
    <n v="7298249350"/>
    <m/>
    <n v="1"/>
    <n v="1"/>
    <n v="4"/>
    <s v="GOLFO CENTRO"/>
    <s v="ZONA HUEJUTLA "/>
  </r>
  <r>
    <n v="88"/>
    <s v="287"/>
    <x v="2"/>
    <d v="2026-04-07T00:00:00"/>
    <s v="SEDECO/CGI/TI/0404/2026_x000a_SDPEE/DGAP/1808/2026"/>
    <s v="AEEH-2*1S.1/01-2026_x000a_ASESORIAS EN MATERIA ENERGÉTICA (VARIOS MUNICIPIOS)"/>
    <s v="ATENDER A LA DELEGADA DALILA MARIO LOPEZ, QUIEN SOLICITA LA AMPLIACIÓN DE RED ELECTRICA Y LA REUBICACIÓN DE POSTES"/>
    <s v="ING. FRANCISCO"/>
    <s v="ALTO"/>
    <d v="2026-04-07T00:00:00"/>
    <x v="0"/>
    <s v="SDE-UC-00315-26"/>
    <s v="AEEH/DG/318/2026, DE FECHA 10/04/2026, ENVIADO AL ING. OCTAVIO GÓMEZ PAULIN COORDINADOR DE GESTIÓN INSTITUCIONAL "/>
    <x v="1"/>
    <s v="N/A"/>
    <s v="N/A"/>
    <s v="N/A"/>
    <s v="N/A"/>
    <s v="N/A"/>
    <s v="N/A"/>
    <s v="N/A"/>
    <s v="DELEGADO (A) MUNICIPAL "/>
    <x v="0"/>
    <x v="2"/>
    <s v="6 ALFAJAYUCAN"/>
    <s v="ZOZEA"/>
    <s v="FEMENINO "/>
    <n v="7721124999"/>
    <m/>
    <n v="1"/>
    <n v="20"/>
    <n v="80"/>
    <s v="DIVISION BAJIO"/>
    <s v="ZONA IXMIQUILPAN"/>
  </r>
  <r>
    <n v="89"/>
    <s v="076"/>
    <x v="0"/>
    <d v="2026-02-04T00:00:00"/>
    <s v="SDPEE/0044/2026_x000a_SEDECO/CGI/TI/0107/2026"/>
    <s v="AEEH-2*1S.5/01-2026_x000a_ENERGIA REGIONAL "/>
    <s v="BRINDAR ATENCIÓN  AL DIRECTOR DE PROYECTOS DE ENERGÍA REGIONAL, QUIEN DESEA PRESENTAR UN PROYECTO DE ELECTRICIDAD "/>
    <s v="ARQ. ORLANDO"/>
    <s v="ALTO"/>
    <d v="2026-02-04T00:00:00"/>
    <x v="0"/>
    <s v="SDE-UCC-07705-26"/>
    <s v="AEEH/DG/319/2026, DE FECHA 10/04/2026, ENVIADO AL ING. OCTAVIO GOMEZ PAULIN, COORDINADOR DE GESTÍON INSTITUCIONAL_x000a_ARQ. ORLANDO SE CONECTA A LA REUNIÓN CON EL C. MIGUEL ÁNGEL HORTA MARTIN "/>
    <x v="2"/>
    <s v="N/A"/>
    <s v="N/A"/>
    <s v="N/A"/>
    <s v="N/A"/>
    <s v="N/A"/>
    <s v="N/A"/>
    <s v="N/A"/>
    <s v="EMPRESA PRIVADA "/>
    <x v="1"/>
    <x v="4"/>
    <m/>
    <m/>
    <s v="MASCULINO "/>
    <s v="55 41 77 30 76"/>
    <s v="miguel.horta@eregional.com.mx"/>
    <n v="1"/>
    <n v="1"/>
    <n v="0"/>
    <s v="N/A"/>
    <s v="N/A"/>
  </r>
  <r>
    <n v="90"/>
    <s v="265"/>
    <x v="1"/>
    <d v="2026-03-30T00:00:00"/>
    <s v="CEDSPI/DGAPI/082/2026"/>
    <s v="AEEH-2*1S.5/03-2026_x000a_FOTEASE SFV BOMBEOS "/>
    <s v="INFORMAR EL ESTAUS DEL OFICIO CEDSPI/DC/428/2025, DONDE EL COMISIONADO ESTATAL PARA EL DESARROLLO SOSTENIBLE DE LOS PUEBLOS INDIGENAS, SOLICITA DATOS PARA EJECUTAR RECURSOS EN &quot;TRANSICION ENERGETICA&quot; DEL FOTEASE"/>
    <s v="ARQ. DIEGO"/>
    <s v="ALTO"/>
    <d v="2026-03-30T00:00:00"/>
    <x v="0"/>
    <s v="SDE-AEEH-00271-25"/>
    <s v="AEEH/DG/321/2026, DE FECHA 13/04/2026, ENVIADO A LA MTRA. LUZ ELENA GONZALEZ ESCOBAR DE LA SECRETARÍA DE ENERGÍA (SENER)_x000a_AEEH/DG/467/2026, DE FECHA 26/05/2026, ENVIADO AL ING. ANDRÉS RIVERA ROSALES, DIRECTOR GENERAL DE ATENCIÓN A PUEBLOS INDÍGENAS DE LA COMISIÓN ESTATAL PARA EL DESARROLLO SOSTENIBLE DE LOS PUEBLOS INDÍGENAS "/>
    <x v="2"/>
    <s v="N/A"/>
    <s v="N/A"/>
    <s v="N/A"/>
    <s v="N/A"/>
    <s v="N/A"/>
    <s v="N/A"/>
    <s v="N/A"/>
    <s v="DEPENDENCIA ESTATAL "/>
    <x v="1"/>
    <x v="4"/>
    <m/>
    <m/>
    <s v="MASCULINO "/>
    <s v="771 473 7073"/>
    <m/>
    <n v="1"/>
    <n v="1"/>
    <n v="0"/>
    <s v="N/A"/>
    <s v="N/A"/>
  </r>
  <r>
    <n v="91"/>
    <s v="313"/>
    <x v="2"/>
    <d v="2026-04-13T00:00:00"/>
    <s v="SEDECO/CGI/TI/0444/2026_x000a_SDPEE/DGAP/2146/2026"/>
    <s v="AEEH-2*1S.1/01-2026_x000a_ASESORIAS EN MATERIA ENERGÉTICA (VARIOS MUNICIPIOS)"/>
    <s v="ATENDER A TANIA YADIRA RAMÍREZ FUENTES, QUIEN SOLICITA LA AMPLIACIÓN DE RED ELECTRICA Y 10 LAMPARAS DE ALUMBRADO PUBLICO "/>
    <s v="ING. FRANCISCO"/>
    <s v="ALTO"/>
    <d v="2026-04-13T00:00:00"/>
    <x v="0"/>
    <s v="SDE-UC-00398-26"/>
    <s v="AEEH/DG/356/2026, DE FECHA 21/04/2026, ENVIADO AL ING. OCTAVIO GOMEZ PAULIN, COORDINADOR DE GESTIÓN INSTITUCIONAL  _x000a_"/>
    <x v="2"/>
    <s v="N/A"/>
    <s v="N/A"/>
    <s v="N/A"/>
    <s v="N/A"/>
    <s v="N/A"/>
    <s v="N/A"/>
    <s v="N/A"/>
    <s v="DELEGADO (A) MUNICIPAL "/>
    <x v="0"/>
    <x v="2"/>
    <s v="29 HUICHAPAN"/>
    <s v="ZAMORANO "/>
    <s v="FEMENINO "/>
    <n v="5534414165"/>
    <m/>
    <n v="1"/>
    <n v="30"/>
    <n v="120"/>
    <s v="DIVISION BAJIO"/>
    <s v="ZONA IXMIQUILPAN"/>
  </r>
  <r>
    <n v="92"/>
    <s v="314"/>
    <x v="2"/>
    <d v="2026-04-13T00:00:00"/>
    <s v="SEDECO/CGI/TI/0445/2026_x000a_SDPEE/DGAP/2159/2026"/>
    <s v="AEEH-2*1S.1/01-2026_x000a_ASESORIAS EN MATERIA ENERGÉTICA (VARIOS MUNICIPIOS)"/>
    <s v="ATENDER A ELOÍSA GONZÁLEZ GONZÁLEZ, QUIEN SOLICITA 10 POSTES PARA AMPLIACION DE RED ELCECTRICA Y ALUMBRADO PUBLICO "/>
    <s v="ING. FRANCISCO"/>
    <s v="ALTO"/>
    <d v="2026-04-13T00:00:00"/>
    <x v="0"/>
    <s v="SDE-UC-00399-26"/>
    <s v="AEEH/DG/357/2026, DE FECHA 21/04/2026, ENVIADO AL ING. OCTAVIO GÓMEZ PAULIN  _x000a_"/>
    <x v="0"/>
    <s v="AEEH/DG/433/2026, DE FECHA 14/05/2026, ENVIADO AL ING. ALEJANDRO YUSULMAN HERNÁNDEZ LEAL, SUPERINTENDENTE DE LA CFE ZONA IXMIQUILPAN "/>
    <s v="NO"/>
    <s v="N/A"/>
    <s v="N/A"/>
    <s v="N/A"/>
    <s v="N/A"/>
    <s v="N/A"/>
    <s v="DELEGADO (A) MUNICIPAL "/>
    <x v="0"/>
    <x v="1"/>
    <s v="29 HUICHAPAN"/>
    <m/>
    <s v="FEMENINO "/>
    <n v="7731549928"/>
    <s v="elivago@live.com.mx"/>
    <n v="1"/>
    <n v="29"/>
    <n v="116"/>
    <s v="DIVISION BAJIO"/>
    <s v="ZONA IXMIQUILPAN"/>
  </r>
  <r>
    <n v="93"/>
    <s v="315"/>
    <x v="2"/>
    <d v="2026-04-13T00:00:00"/>
    <s v="SEDECO/CGI/TI/0449/2026_x000a_SDPEE/DGAP/2197/2026"/>
    <s v="AEEH-2*1S.1/01-2026_x000a_ASESORIAS EN MATERIA ENERGÉTICA (VARIOS MUNICIPIOS)"/>
    <s v="ATENDER A PEDRO GUERRERO GONZALEZ, QUIEN SOLICITA LA AMPLIACIÓN DE LA RED DE ENERGIA ELECTRICA Y COLOCACIÓN DE 2 TRANSFORMADORES EN SU LOCALIDAD "/>
    <s v="ING. FRANCISCO"/>
    <s v="ALTO"/>
    <d v="2026-04-13T00:00:00"/>
    <x v="0"/>
    <s v="SDE-UC-00405-26"/>
    <s v="AEEH/DG/358/2026, DE FECHA 21/04/2026, ENVIADO AL ING. OCTAVIO GOMEZ PAULIN "/>
    <x v="1"/>
    <s v="N/A"/>
    <s v="N/A"/>
    <s v="N/A"/>
    <s v="N/A"/>
    <s v="N/A"/>
    <s v="N/A"/>
    <s v="N/A"/>
    <s v="DELEGADO (A) MUNICIPAL "/>
    <x v="0"/>
    <x v="3"/>
    <s v="29 HUICHAPAN"/>
    <s v="JONACOPA"/>
    <s v="MASCULINO "/>
    <n v="7731284313"/>
    <s v="pedroguerrerogonz30@gmail.com"/>
    <n v="1"/>
    <n v="30"/>
    <n v="120"/>
    <s v="DIVISION BAJIO"/>
    <s v="ZONA IXMIQUILPAN"/>
  </r>
  <r>
    <n v="94"/>
    <s v="300"/>
    <x v="2"/>
    <d v="2026-04-13T00:00:00"/>
    <s v="SEDECO/CGI/TI/0425/2026_x000a_SDPEE/DGAP/1971/2026"/>
    <s v="AEEH-2*1S.1/01-2026_x000a_ASESORIAS EN MATERIA ENERGÉTICA (VARIOS MUNICIPIOS)"/>
    <s v="ATENDER A CAMILO PIÑA BENITEZ, QUIEN SOLICITA EL MEJORAMIENTO DE ALUMBRADO PUBLICO EN SU LOCALIDAD"/>
    <s v="ING. FRANCISCO"/>
    <s v="ALTO"/>
    <d v="2026-04-13T00:00:00"/>
    <x v="0"/>
    <s v="SDE-UC-00361-206"/>
    <s v="AEEH/DG/360/2026, DE FECHA 21/04/206, ENVIADO AL ING. OCTAVIO GOMEZ PAULIN "/>
    <x v="2"/>
    <s v="N/A"/>
    <s v="N/A"/>
    <s v="N/A"/>
    <s v="N/A"/>
    <s v="N/A"/>
    <s v="N/A"/>
    <s v="N/A"/>
    <s v="DELEGADO (A) MUNICIPAL "/>
    <x v="0"/>
    <x v="1"/>
    <s v="17 CHAPANTONGO"/>
    <s v="TLAUNILOLPAN"/>
    <s v="MASCULINO "/>
    <n v="6144471640"/>
    <m/>
    <n v="1"/>
    <n v="2"/>
    <n v="8"/>
    <s v="CENTRO ORIENTE"/>
    <s v="ZONA TULA"/>
  </r>
  <r>
    <n v="95"/>
    <s v="309"/>
    <x v="2"/>
    <d v="2026-04-13T00:00:00"/>
    <s v="SEDECO/CGI/TI/0438/2026_x000a_SDPEE/DGAP/2084/2026"/>
    <s v="AEEH-2*1S.1/01-2026_x000a_ASESORIAS EN MATERIA ENERGÉTICA (VARIOS MUNICIPIOS)"/>
    <s v="ATENDER A ARMANDO ROMERO DIAZ, QUIEN SOLICITA 10 LAMPARAS DE ALUBRADO PUBLICO EN SU LOCALIDAD "/>
    <s v="ING. FRANCISCO"/>
    <s v="ALTO"/>
    <d v="2026-04-13T00:00:00"/>
    <x v="0"/>
    <s v="SDE-UC-00371-26"/>
    <s v="AEEH/DG/361/2026, DE FECHA 21/04/2026, ENVIADO AL ING. OCTAVIO GOMEZ PAULIN "/>
    <x v="2"/>
    <s v="N/A"/>
    <s v="N/A"/>
    <s v="N/A"/>
    <s v="SI"/>
    <s v="AEEH/DG/454/2026, DE FECHA 20/05/2026, ENVIADO A LA MTRA. YEYMI YADIRA SOLÍS ZAVALA"/>
    <s v="N/A"/>
    <s v="N/A"/>
    <s v="DELEGADO (A) MUNICIPAL "/>
    <x v="0"/>
    <x v="1"/>
    <s v="29 HUICHAPAN"/>
    <s v="TLAXCALILLA"/>
    <s v="MASCULINO "/>
    <n v="4272243984"/>
    <m/>
    <n v="1"/>
    <n v="20"/>
    <n v="80"/>
    <s v="DIVISION BAJIO"/>
    <s v="ZONA IXMIQUILPAN"/>
  </r>
  <r>
    <n v="96"/>
    <s v="307"/>
    <x v="2"/>
    <d v="2026-04-13T00:00:00"/>
    <s v="SEDECO/CGI/TI/0436/2026_x000a_SDPEE/DGAP/2074/2026"/>
    <s v="AEEH-2*1S.1/01-2026_x000a_ASESORIAS EN MATERIA ENERGÉTICA (VARIOS MUNICIPIOS)"/>
    <s v="ATENDER  A ARMANDO ROMERO DIAZ, QUIEN SOLICITA 3 POSTES PARA LA AMPLIACIÓN DE RED ELECTRICA "/>
    <s v="ING. FRANCISCO"/>
    <s v="ALTO"/>
    <d v="2026-04-13T00:00:00"/>
    <x v="0"/>
    <s v="SDE-UC-00370-26"/>
    <s v="AEEH/DG/362/2026, DE FECHA 21/04/2026, ENVIADO AL ING.OCTAVIO GOMEZ PAULIN _x000a_AEEH/DG/507/2026, DE FECHA 05/06/2026, ENVIADO AL ING.OCTAVIO GOMEZ PAULIN "/>
    <x v="1"/>
    <s v="N/A"/>
    <s v="N/A"/>
    <s v="N/A"/>
    <s v="N/A"/>
    <s v="N/A"/>
    <s v="N/A"/>
    <s v="N/A"/>
    <s v="DELEGADO (A) MUNICIPAL "/>
    <x v="0"/>
    <x v="2"/>
    <s v="29 HUICHAPAN"/>
    <s v="TLAXCALILLA"/>
    <s v="MASCULINO "/>
    <n v="4272243984"/>
    <m/>
    <n v="1"/>
    <n v="20"/>
    <n v="80"/>
    <s v="DIVISION BAJIO"/>
    <s v="ZONA IXMIQUILPAN"/>
  </r>
  <r>
    <n v="97"/>
    <s v="308"/>
    <x v="2"/>
    <d v="2026-04-13T00:00:00"/>
    <s v="SEDECO/CGI/TI/0437/2026_x000a_SDPEE/DGAP/2078/2026"/>
    <s v="AEEH-2*1S.1/01-2026_x000a_ASESORIAS EN MATERIA ENERGÉTICA (VARIOS MUNICIPIOS)"/>
    <s v="ATENDER A RICARDO TREJO SALVADOR, QUIEN SOLICITA ALUMBRADO PÚBLICO EN SU LOCALIDAD"/>
    <s v="ING. FRANCISCO"/>
    <s v="ALTO"/>
    <d v="2026-04-13T00:00:00"/>
    <x v="0"/>
    <s v="SDE-UC-00447-26"/>
    <s v="AEEH/DG/364/2026, DE FECHA 21/04/2026, ENVIADO AL ING OCTAVIO GOMEZ PAULIN "/>
    <x v="2"/>
    <s v="N/A"/>
    <s v="N/A"/>
    <s v="N/A"/>
    <s v="N/A"/>
    <s v="N/A"/>
    <s v="N/A"/>
    <s v="N/A"/>
    <s v="DELEGADO (A) MUNICIPAL "/>
    <x v="0"/>
    <x v="1"/>
    <s v="29 HUICHAPAN"/>
    <s v="LA ESTACION "/>
    <s v="MASCULINO "/>
    <n v="7731470996"/>
    <m/>
    <n v="1"/>
    <n v="20"/>
    <n v="80"/>
    <s v="DIVISION BAJIO"/>
    <s v="ZONA IXMIQUILPAN"/>
  </r>
  <r>
    <n v="98"/>
    <s v="303"/>
    <x v="2"/>
    <d v="2026-04-13T00:00:00"/>
    <s v="SEDECO/CGI/TI/0428/2026_x000a_SDPEE/DGAP/2052/2026"/>
    <s v="AEEH-2*1S.1/01-2026_x000a_ASESORIAS EN MATERIA ENERGÉTICA (VARIOS MUNICIPIOS)"/>
    <s v="ATENDER A BERNARDA LETICIA GALVÁN SÁNCHEZ, QUIEN SOLICITA LA HABILITACIÓN DE UN TRANSFOMADOR Y ALUMBRADO PÚBLICO EN SU LOCALIDAD "/>
    <s v="ING. FRANCISCO"/>
    <s v="ALTO"/>
    <d v="2026-04-13T00:00:00"/>
    <x v="0"/>
    <s v="SDE-UC-00365-26"/>
    <s v="AEEH/DG/365/2026, DE FECHA 21/04/2026, ENVIADO AL ING. OCTAVIO GOMEZ PAULIN "/>
    <x v="2"/>
    <s v="N/A"/>
    <s v="N/A"/>
    <s v="N/A"/>
    <s v="N/A"/>
    <s v="N/A"/>
    <s v="N/A"/>
    <s v="N/A"/>
    <s v="DELEGADO (A) MUNICIPAL "/>
    <x v="0"/>
    <x v="1"/>
    <s v="17 CHAPANTONGO"/>
    <s v="SAN ANTONIO"/>
    <s v="FEMENINO "/>
    <n v="7721048497"/>
    <s v="ulises9santiagos@gmail.com"/>
    <n v="1"/>
    <n v="42"/>
    <n v="168"/>
    <s v="CENTRO ORIENTE"/>
    <s v="ZONA TULA"/>
  </r>
  <r>
    <n v="99"/>
    <s v="326"/>
    <x v="2"/>
    <d v="2026-04-17T00:00:00"/>
    <s v="SEDECO/CGI/TI/0458/2026_x000a_SDPEE/DGAP/2160/2026"/>
    <s v="AEEH-2*1S.1/01-2026_x000a_ASESORIAS EN MATERIA ENERGÉTICA (VARIOS MUNICIPIOS)"/>
    <s v="ATENDER A DAFNE LIZETH RAMOS LÓPEZ QUIEN SOLICITA APOYO PARA RETIRAR UN POSTE DE LUZ, CABLES DE ALTA TENSIÓN CERCA DE SU DOMICILIO "/>
    <s v="ING. FRANCISCO"/>
    <s v="ALTO"/>
    <d v="2026-04-17T00:00:00"/>
    <x v="0"/>
    <s v="SDE-UC-00423-26"/>
    <s v="AEEH/DG/377/2026, DE FECHA 27/04/2026, ENVIADO AL ING. OCTAVIO GOMEZ PAULIN, COORDINADOR DE GESTIÓN INSTITUCIONAL "/>
    <x v="0"/>
    <s v="AEEH/DG/0731/2026, DE FECHA 03/08/2026, ENVIADO AL ING. HUGO ALEJANDRO ABUNDIS GONZÁLEZ "/>
    <s v="NO"/>
    <s v="N/A"/>
    <s v="N/A"/>
    <s v="N/A"/>
    <s v="N/A"/>
    <s v="N/A"/>
    <s v="CIUDADANO (A)"/>
    <x v="0"/>
    <x v="5"/>
    <s v="28 HUEJUTLA DE REYES"/>
    <s v="XOCHIPATLAN"/>
    <s v="FEMENINO "/>
    <n v="7717033558"/>
    <m/>
    <n v="1"/>
    <n v="1"/>
    <n v="4"/>
    <s v="GOLFO CENTRO"/>
    <s v="ZONA HUEJUTLA "/>
  </r>
  <r>
    <n v="100"/>
    <s v="327"/>
    <x v="2"/>
    <d v="2026-04-17T00:00:00"/>
    <s v="SEDECO/CGI/TI/0467/2026_x000a_SDPEE/DGAP/2298/2026"/>
    <s v="AEEH-2*1S.1/01-2026_x000a_ASESORIAS EN MATERIA ENERGÉTICA (VARIOS MUNICIPIOS)"/>
    <s v="ATENDER A PATRICIO ADRIAN PACHECO TORRES, QUIEN SOLICITA LA MEDIACIÓN CON CFE PARA LA INSTALACIÓN DE ALUMBRADO PÚBLICO EN SU LOCALIDAD"/>
    <s v="ING. FRANCISCO"/>
    <s v="ALTO"/>
    <d v="2026-04-17T00:00:00"/>
    <x v="0"/>
    <s v="SDE-UC-00422-26"/>
    <s v="AEEH/DG/378/2026, DE FECHA 27/04/2026, ENVIADO AL ING. OCTAVIO GOMEZ PAULIN, COORDINADOR DE GESTIÓN INSTITUCIONAL "/>
    <x v="2"/>
    <s v="N/A"/>
    <s v="N/A"/>
    <s v="N/A"/>
    <s v="N/A"/>
    <s v="N/A"/>
    <s v="N/A"/>
    <s v="N/A"/>
    <s v="CIUDADANO (A)"/>
    <x v="0"/>
    <x v="1"/>
    <s v="29 HUICHAPAN"/>
    <s v="CENTRO "/>
    <s v="MASCULINO "/>
    <n v="7731063125"/>
    <m/>
    <n v="1"/>
    <n v="2"/>
    <n v="8"/>
    <s v="DIVISION BAJIO"/>
    <s v="ZONA IXMIQUILPAN"/>
  </r>
  <r>
    <n v="101"/>
    <s v="301"/>
    <x v="2"/>
    <d v="2026-04-13T00:00:00"/>
    <s v="SEDECO/CGI/TI/0426/2026_x000a_SDPEE/DGAP/2022/2026"/>
    <s v="AEEH-2*1S.1/01-2026_x000a_ASESORIAS EN MATERIA ENERGÉTICA (VARIOS MUNICIPIOS)"/>
    <s v="ATENDER  CARLOS BENITEZ GUERRERO, QUIEN SOLICITA LA INSTALACIÓN DE ENERGÍA ELECTRICA EN SU DOMICILIO "/>
    <s v="ING. FRANCISCO"/>
    <s v="ALTO"/>
    <d v="2026-04-13T00:00:00"/>
    <x v="0"/>
    <s v="SDE-UC-00358-26"/>
    <s v="AEEH/DG/396/2026, DE FECHA 29/04/2026, ENVIADO AL ING. OCTAVIO GÓMEZ PAULIN, COORDINADOR DE GESTIÓN INSTITUCIONAL _x000a_"/>
    <x v="0"/>
    <s v="AEEH/DG/387/2026, DE FECHA 28/04/2026, ENVIADO AL ING. ABRAHAM MÉNDEZ SÁNCHEZ, SUPERINTENDENTE DE CFE DISTRIBUCIÓN ZONA TULA"/>
    <s v="NO"/>
    <s v="N/A"/>
    <s v="N/A"/>
    <s v="N/A"/>
    <s v="N/A"/>
    <s v="N/A"/>
    <s v="DELEGADO (A) MUNICIPAL "/>
    <x v="0"/>
    <x v="2"/>
    <s v="17 CHAPANTONGO"/>
    <s v="LA ESTANCIA "/>
    <s v="MASCULINO "/>
    <n v="7716775707"/>
    <m/>
    <n v="1"/>
    <n v="3"/>
    <n v="12"/>
    <s v="CENTRO ORIENTE"/>
    <s v="ZONA TULA"/>
  </r>
  <r>
    <n v="102"/>
    <s v="255"/>
    <x v="1"/>
    <d v="2026-03-20T00:00:00"/>
    <s v="SEDECO/CGI/TI/0319/2026_x000a_SDPEE/DGAP/1274/2026"/>
    <s v="AEEH-2*1S.1/01-2026_x000a_ASESORIAS EN MATERIA ENERGÉTICA (VARIOS MUNICIPIOS)"/>
    <s v="ATENDER A LA C. YAZMIN CARIDAD PEÑA GUZMÁN, QUIEN SOLICITA APOYO PARA REUBICAR UN POSTE Y UN TRANSFORMADOR DENTRO DE LA ESCUELA PRIMARIA &quot;VICENTE GUERRERO&quot;"/>
    <s v="ING. FRANCISCO"/>
    <s v="ALTO"/>
    <d v="2026-03-24T00:00:00"/>
    <x v="0"/>
    <s v="SDE-UC-00163-26"/>
    <s v="AEEH/DG/397/2026, DE FECHA 28/04/2026, ENVIADO AL ING. OCTAVIO GÓMEZ PAULIN, COORDINADOR DE GESTIÓN INSTITUCIONAL "/>
    <x v="0"/>
    <s v="AEEH/DG/306/2026, DE FECHA 10/04/2026, ENVIADO AL ING. GILBERTO LEÓN ORDAZ SUPERINTENDENTE EF - CFE ZONA TULANCINGO "/>
    <s v="SI"/>
    <s v="GLO-107-2026"/>
    <s v="N/A"/>
    <s v="N/A"/>
    <s v="N/A"/>
    <s v="N/A"/>
    <s v="CIUDADANO (A)"/>
    <x v="0"/>
    <x v="3"/>
    <s v="2 ACAXOCHITLÁN"/>
    <m/>
    <s v="FEMENINO "/>
    <n v="7761060828"/>
    <m/>
    <n v="1"/>
    <n v="1"/>
    <n v="4"/>
    <s v="CENTRO ORIENTE"/>
    <s v="ZONA TULANCINGO"/>
  </r>
  <r>
    <n v="103"/>
    <s v="373"/>
    <x v="4"/>
    <d v="2026-05-05T00:00:00"/>
    <s v="SEDECO/CGI/TI/0529/2026_x000a_SDPEE/DGAP/2672/2026"/>
    <s v="AEEH-2*1S.1/01-2026_x000a_ASESORIAS EN MATERIA ENERGÉTICA (VARIOS MUNICIPIOS)"/>
    <s v="ATENDER AL C. MACLOVIO LOZADA GONZALEZ, QUIEN SOLICITA LA INSTALACIÓN DE ENERGÍA ELECTRICA EN SU LOCALIDAD "/>
    <s v="ING. FRANCISCO"/>
    <s v="ALTO"/>
    <d v="2026-05-05T00:00:00"/>
    <x v="0"/>
    <s v="SDE-UC-00557-26"/>
    <s v="AEEH/DG/438/2026, DE FECHA 15/05/2026, ENVIADO AL ING. OCTAVIO GÓMEZ PAULIN, COORDINADOR DE GESTIÓN INSTITUCIONAL  "/>
    <x v="2"/>
    <s v="N/A"/>
    <s v="N/A"/>
    <s v="N/A"/>
    <s v="N/A"/>
    <s v="N/A"/>
    <s v="N/A"/>
    <s v="N/A"/>
    <s v="DEPENDENCIA ESTATAL "/>
    <x v="0"/>
    <x v="2"/>
    <s v="77 TULANCINGO DE BRAVO"/>
    <s v="COL. LAS AMERICAS "/>
    <s v="MASCULINO "/>
    <s v="775 149 5962"/>
    <m/>
    <n v="1"/>
    <n v="40"/>
    <n v="160"/>
    <s v="CENTRO ORIENTE"/>
    <s v="ZONA TULANCINGO"/>
  </r>
  <r>
    <n v="104"/>
    <s v="372"/>
    <x v="4"/>
    <d v="2026-05-04T00:00:00"/>
    <s v="SEDECO/CGI/TI/0524/2026_x000a_SDPEE/DGAP/2587/2026"/>
    <s v="AEEH-2*1S.1/01-2026_x000a_ASESORIAS EN MATERIA ENERGÉTICA (VARIOS MUNICIPIOS)"/>
    <s v="ATENDER AL C. CIRO BALLESTEROS GARCÍA, QUIEN SOLICITA LA REHABILITACIÓN DE LA RED ELECTRICA EN SU COMUNIDAD "/>
    <s v="ING. FRANCISCO"/>
    <s v="ALTO"/>
    <d v="2026-05-04T00:00:00"/>
    <x v="0"/>
    <s v="SDE-UC-00512-26"/>
    <s v="AEEH/DG/439/2026, DE FECHA 15/05/2026, ENVIADO AL ING. OCTAVIO GÓMEZ PAULIN, COORDINADOR DE GESTIÓN INSTITUCIONAL  "/>
    <x v="2"/>
    <s v="N/A"/>
    <s v="N/A"/>
    <s v="N/A"/>
    <s v="N/A"/>
    <s v="N/A"/>
    <s v="N/A"/>
    <s v="N/A"/>
    <s v="DEPENDENCIA ESTATAL "/>
    <x v="0"/>
    <x v="3"/>
    <s v="67 TEZONTEPEC DE ALDAMA"/>
    <s v="SAN JUAN ACHICHILCO"/>
    <s v="MASCULINO "/>
    <s v="773 115 0777"/>
    <m/>
    <n v="1"/>
    <n v="500"/>
    <n v="2000"/>
    <s v="CENTRO ORIENTE"/>
    <s v="ZONA TULA"/>
  </r>
  <r>
    <n v="105"/>
    <s v="371"/>
    <x v="4"/>
    <d v="2026-05-05T00:00:00"/>
    <s v="SEDECO/CGI/TI/0523/2026_x000a_SDPEE/DGAP/2560/2026"/>
    <s v="AEEH-2*1S.1/01-2026_x000a_ASESORIAS EN MATERIA ENERGÉTICA (VARIOS MUNICIPIOS)"/>
    <s v="ATENDER A JUVENAL VARGAS MARTÍN, QUIEN SOLICITA LA COLOCACIÓN DE LUMINARIAS PARA LOS CAMINOS PÚLICOS DE SU COMUNIDAD "/>
    <s v="ING. FRANCISCO"/>
    <s v="ALTO"/>
    <d v="2026-05-05T00:00:00"/>
    <x v="0"/>
    <s v="SDE-UC-00504-26"/>
    <s v="AEEH/DG/440/2026, DE FECHA 15/05/2026, ENVIADO AL ING. OCTAVIO GÓMEZ PAULIN, COORDINADOR DE GESTIÓN INSTITUCIONAL  "/>
    <x v="2"/>
    <s v="N/A"/>
    <s v="N/A"/>
    <s v="N/A"/>
    <s v="N/A"/>
    <s v="N/A"/>
    <s v="N/A"/>
    <s v="N/A"/>
    <s v="DEPENDENCIA ESTATAL "/>
    <x v="0"/>
    <x v="1"/>
    <s v="13 ATOTONILCO DE TULA"/>
    <s v="PRADERAS DEL POTRERO"/>
    <s v="MASCULINO "/>
    <s v="55 91 63 16 00"/>
    <m/>
    <n v="1"/>
    <n v="20"/>
    <n v="80"/>
    <s v="CENTRO ORIENTE"/>
    <s v="ZONA TULA"/>
  </r>
  <r>
    <n v="106"/>
    <s v="375"/>
    <x v="4"/>
    <d v="2026-05-05T00:00:00"/>
    <s v="SEDECO/CGI/TI/0531/2026_x000a_SDPEE/DGAP/2705/2026"/>
    <s v="AEEH-2*1S.1/01-2026_x000a_ASESORIAS EN MATERIA ENERGÉTICA (VARIOS MUNICIPIOS)"/>
    <s v="ATENDER A DAVID HERNÁNDEZ HERNÁNDEZ, PARA LA MEDIACIÓN CON CFE PARA LA CORRECIÓN DE DIRECCIONES DE LOS USUARIOS DE SU COMUNIDAD "/>
    <s v="ING. FRANCISCO"/>
    <s v="ALTO"/>
    <d v="2026-05-05T00:00:00"/>
    <x v="0"/>
    <s v="SDE-UC-00567-26"/>
    <s v="AEEH/DG/441/2026, DE FECHA 15/05/2026, ENVIADO AL ING. OCTAVIO GÓMEZ PAULIN, COORDINADOR DE GESTIÓN INSTITUCIONAL  "/>
    <x v="2"/>
    <s v="N/A"/>
    <s v="N/A"/>
    <s v="N/A"/>
    <s v="N/A"/>
    <s v="N/A"/>
    <s v="N/A"/>
    <s v="N/A"/>
    <s v="DEPENDENCIA ESTATAL "/>
    <x v="0"/>
    <x v="4"/>
    <m/>
    <s v="LA PEÑA "/>
    <s v="MASCULINO "/>
    <s v="772 123 9134"/>
    <m/>
    <n v="1"/>
    <n v="1"/>
    <n v="2"/>
    <s v="CENTRO ORIENTE"/>
    <s v="ZONA PACHUCA"/>
  </r>
  <r>
    <n v="107"/>
    <s v="370"/>
    <x v="4"/>
    <d v="2026-05-05T00:00:00"/>
    <s v="SEDECO/CGI/TI/0522/2026_x000a_SDPEE/DGAP/2544/2026"/>
    <s v="AEEH-2*1S.1/01-2026_x000a_ASESORIAS EN MATERIA ENERGÉTICA (VARIOS MUNICIPIOS)"/>
    <s v="ATENDER A HERÓN MARTÍNEZ CABRERA, QUIEN SOLICITA UN INCREMENTO DE VOLTAJE EN LA TELESECUNDARIA NO. 100 DE SU LOCALIDAD "/>
    <s v="ING. FRANCISCO"/>
    <s v="ALTO"/>
    <d v="2026-05-05T00:00:00"/>
    <x v="0"/>
    <s v="SDE-UC-00497-26"/>
    <s v="AEEH/DG/442/2026, DE FECHA 15/05/2026, ENVIADO AL ING. OCTAVIO GÓMEZ PAULIN, COORDINADOR DE GESTIÓN INSTITUCIONAL ._x000a_EL 08 DE MAYO, SE REALIZÓ UNA REUNIÓN EN LAS OFICINAS DE LA AEEH CON REPRESENTANTES DE LA ESCUELA._x000a_ELM 13 DE MAYO, SE REALIZÓ UNA REUNIÓN VIRTUAL CON INTEGRANTES DEL IHE"/>
    <x v="1"/>
    <s v="N/A"/>
    <s v="N/A"/>
    <s v="N/A"/>
    <s v="N/A"/>
    <s v="N/A"/>
    <s v="N/A"/>
    <s v="N/A"/>
    <s v="DEPENDENCIA ESTATAL "/>
    <x v="0"/>
    <x v="3"/>
    <s v="62 TEPEHUACÁN DE GUERRERO"/>
    <s v="ACUIMANTLA "/>
    <s v="MASCULINO "/>
    <s v="771 365 2343"/>
    <m/>
    <n v="1"/>
    <n v="40"/>
    <n v="160"/>
    <s v="GOLFO CENTRO"/>
    <s v="ZONA HUEJUTLA "/>
  </r>
  <r>
    <n v="108"/>
    <s v="379"/>
    <x v="4"/>
    <d v="2026-05-05T00:00:00"/>
    <s v="SEDECO/CGI/TI/0545/2026_x000a_SDPEE/DGAP/2753/2026"/>
    <s v="AEEH-2*1S.1/01-2026_x000a_ASESORIAS EN MATERIA ENERGÉTICA (VARIOS MUNICIPIOS)"/>
    <s v="ATENDER A LA C. MARIA DOLORES ÁNGELES SALAS, QUIEN SOLICITA LA REUBICACIÓN DE UN POSTE DE LUZ"/>
    <s v="ING. FRANCISCO"/>
    <s v="ALTO"/>
    <d v="2026-05-05T00:00:00"/>
    <x v="0"/>
    <s v="SDE-UC-00587-26"/>
    <s v="AEEH/DG/443/2026, DE FECHA 15/05/2026, ENVIADO AL ING. OCTAVIO GÓMEZ PAULIN, COORDINADOR DE GESTIÓN INSTITUCIONAL  "/>
    <x v="1"/>
    <s v="N/A"/>
    <s v="N/A"/>
    <s v="N/A"/>
    <s v="N/A"/>
    <s v="N/A"/>
    <s v="N/A"/>
    <s v="N/A"/>
    <s v="DEPENDENCIA ESTATAL "/>
    <x v="0"/>
    <x v="5"/>
    <s v="48 PACHUCA DE SOTO"/>
    <s v="SAN ANTONIO EL DESMONTE"/>
    <s v="FEMENINO "/>
    <s v="771 382 0155"/>
    <m/>
    <n v="1"/>
    <n v="1"/>
    <n v="4"/>
    <s v="CENTRO ORIENTE"/>
    <s v="ZONA PACHUCA"/>
  </r>
  <r>
    <n v="109"/>
    <s v="273"/>
    <x v="1"/>
    <d v="2026-03-30T00:00:00"/>
    <s v="SEDECO/CGI/TI/0370/2026_x000a_SDPEE/DGAP/1623/2026"/>
    <s v="AEEH-2*1S.1/01-2026_x000a_ASESORIAS EN MATERIA ENERGÉTICA (VARIOS MUNICIPIOS)"/>
    <s v="ATENDER A MAURICIO TELLEZ HERNÁNDEZ, QUIEN SOLICITA LA AMPLIACIÓN DE RED ELECTRICA PARA LAS CALLES CHABACANO Y PERA."/>
    <s v="ING. FRANCISCO"/>
    <s v="ALTO"/>
    <d v="2026-03-30T00:00:00"/>
    <x v="0"/>
    <s v="SDE-UC-00259-26"/>
    <s v="AEEH/DG/444/2026, DE FECHA 15/05/2026, ENVIADO AL ING. OCTAVIO GÓMEZ PAULIN, COORDINADOR DE GESTIÓN INSTITUCIONAL "/>
    <x v="0"/>
    <s v="AEEH/DG/309/2026, DE FECHA 10/04/2026, ENVIADO AL ING. VÍCTOR ISRAEL ALARCÓN HEREDIA, SUPERINTENDENTE DE LA CFE ZONA PACHUCA"/>
    <s v="SI"/>
    <s v="CFE-DIS/DELEC-0121/2026, INFORMANDO EL ESTATUS DE LA SOLICITUD "/>
    <s v="N/A"/>
    <s v="N/A"/>
    <s v="N/A"/>
    <s v="N/A"/>
    <s v="CIUDADANO (A)"/>
    <x v="0"/>
    <x v="2"/>
    <s v="22 EPAZOYUCAN"/>
    <s v="SANTA MONICA "/>
    <s v="MASCULINO "/>
    <n v="7711258313"/>
    <m/>
    <n v="1"/>
    <n v="21"/>
    <n v="84"/>
    <s v="CENTRO ORIENTE"/>
    <s v="ZONA PACHUCA"/>
  </r>
  <r>
    <n v="110"/>
    <s v="302"/>
    <x v="2"/>
    <d v="2026-04-13T00:00:00"/>
    <s v="SEDECO/CGI/TI/0427/2026_x000a_SDPEE/DGAP/2019/2026"/>
    <s v="AEEH-2*1S.1/01-2026_x000a_ASESORIAS EN MATERIA ENERGÉTICA (VARIOS MUNICIPIOS)"/>
    <s v="ATENDER A SALVADOR VALENCIA GONZALEZ, QUIEN SOLICITA LA REUBICACIÓN DE UN POSTE DE LUZ"/>
    <s v="ING. FRANCISCO"/>
    <s v="ALTO"/>
    <d v="2026-04-13T00:00:00"/>
    <x v="0"/>
    <s v="SDE-UC-00357-26"/>
    <s v="AEEH/DG/445/2026, DE FECHA 15/05/2026, ENVIADO AL ING. OCTAVIO GOMEZ PAULIN, COORDINADOR DE GESTIÓN INSTITUCIONAL _x000a_"/>
    <x v="0"/>
    <s v="AEEH/DG/388/2026, DE FECHA 28/04/2026, ENVIADO AL ING. ABRAHAM MÉNDEZ SÁNCHEZ, SUPERINTENDENTE DE CFE DISTRIBUCIÓN ZONA TULA"/>
    <s v="NO"/>
    <s v="N/A"/>
    <s v="N/A"/>
    <s v="N/A"/>
    <s v="N/A"/>
    <s v="N/A"/>
    <s v="DELEGADO (A) MUNICIPAL "/>
    <x v="0"/>
    <x v="5"/>
    <s v="17 CHAPANTONGO"/>
    <s v="DEXTHA"/>
    <s v="MASCULINO "/>
    <n v="4423459828"/>
    <m/>
    <n v="1"/>
    <n v="8"/>
    <n v="32"/>
    <s v="CENTRO ORIENTE"/>
    <s v="ZONA TULA"/>
  </r>
  <r>
    <n v="111"/>
    <s v="395"/>
    <x v="4"/>
    <d v="2026-05-15T00:00:00"/>
    <s v="SEDECO/CGI/TI/0566/2026_x000a_SDPEE/DGAP/2830/2026"/>
    <s v="AEEH-2*1S.1/01-2026_x000a_ASESORIAS EN MATERIA ENERGÉTICA (VARIOS MUNICIPIOS)"/>
    <s v="ATENDER A MACLOVIO LOZADA GONZALEZ, QUIEN SOLICITA APOYO CON SERVICIO DE ELECTRICIDAD PARA SU COMUNIDAD "/>
    <s v="ING. FRANCISCO"/>
    <s v="ALTO"/>
    <d v="2026-05-15T00:00:00"/>
    <x v="0"/>
    <s v="SDE-UC-00622-26"/>
    <s v="AEEH/DG/455/2026, DE FECHA 20/05/2026, ENVIADO AL ING. OCTAVIO GÓMEZ PAULIN, COORDINADOR DE GESTIÓN INSTITUCIONAL  "/>
    <x v="1"/>
    <s v="N/A"/>
    <s v="N/A"/>
    <s v="N/A"/>
    <s v="N/A"/>
    <s v="N/A"/>
    <s v="N/A"/>
    <s v="N/A"/>
    <s v="CIUDADANO (A)"/>
    <x v="0"/>
    <x v="2"/>
    <s v="77 TULANCINGO DE BRAVO"/>
    <s v="COL. LAS AMERICAS "/>
    <s v="MASCULINO "/>
    <s v="775 149 5962"/>
    <m/>
    <n v="0"/>
    <n v="0"/>
    <n v="0"/>
    <s v="CENTRO ORIENTE"/>
    <s v="ZONA TULANCINGO"/>
  </r>
  <r>
    <n v="112"/>
    <s v="396"/>
    <x v="4"/>
    <d v="2026-05-15T00:00:00"/>
    <s v="SEDECO/CGI/TI/0568/2026_x000a_SDPEE/DGAP/28721/2026"/>
    <s v="AEEH-2*1S.1/01-2026_x000a_ASESORIAS EN MATERIA ENERGÉTICA (VARIOS MUNICIPIOS)"/>
    <s v="ATENDER A ODÓN RAMOS ÁNGELES, QUIEN SOLICITA 6 PANELES SOLARES PARA SU LOCALIDAD "/>
    <s v="ING. FRANCISCO"/>
    <s v="ALTO"/>
    <d v="2026-05-15T00:00:00"/>
    <x v="0"/>
    <s v="SDE-UC-00637-26"/>
    <s v="AEEH/DG/456/2026, DE FECHA 20/05/2026, ENVIADO AL ING. OCTAVIO GÓMEZ PAULIN, COORDINADOR DE GESTIÓN INSTITUCIONAL  _x000a_AEEH/DPIE/044/2026, DE FECHA 28/05/2026, EVNIADO AL ING. FRANCISCO CALLEJAS PEREZ, DIRECTOR DE PROMOCIÓN Y PLANEACIÓN "/>
    <x v="2"/>
    <s v="N/A"/>
    <s v="N/A"/>
    <s v="N/A"/>
    <s v="N/A"/>
    <s v="N/A"/>
    <s v="N/A"/>
    <s v="N/A"/>
    <s v="CIUDADANO (A)"/>
    <x v="0"/>
    <x v="8"/>
    <s v="14 CALNALI"/>
    <s v="PEZMAPA"/>
    <s v="MASCULINO "/>
    <n v="7711323732"/>
    <m/>
    <n v="1"/>
    <n v="6"/>
    <n v="24"/>
    <s v="GOLFO CENTRO"/>
    <s v="ZONA HUEJUTLA "/>
  </r>
  <r>
    <n v="113"/>
    <s v="402"/>
    <x v="4"/>
    <d v="2026-05-15T00:00:00"/>
    <s v="SEDECO/CGI/TI/059/2026_x000a_SDPEE/DGAP/2933/2026"/>
    <s v="AEEH-2*1S.1/01-2026_x000a_ASESORIAS EN MATERIA ENERGÉTICA (VARIOS MUNICIPIOS)"/>
    <s v="ATENDER AL C. ELEAZAR MUÑOZ ARÁMBULA, QUIEN SOLICITA APOYO CON EL SERVICIO DE LUZ EN LA CALLE TLACPAC"/>
    <s v="ING. FRANCISCO"/>
    <s v="ALTO"/>
    <d v="2026-05-15T00:00:00"/>
    <x v="0"/>
    <s v="SDE-UC-00699-26"/>
    <s v="AEEH/DG/457/2026, DE FECHA 20/05/2026, ENVIADO AL ING. OCTAVIO GÓMEZ PAULIN, COORDINADOR DE GESTIÓN INSTITUCIONAL  "/>
    <x v="2"/>
    <s v="N/A"/>
    <s v="N/A"/>
    <s v="N/A"/>
    <s v="N/A"/>
    <s v="N/A"/>
    <s v="N/A"/>
    <s v="N/A"/>
    <s v="CIUDADANO (A)"/>
    <x v="0"/>
    <x v="2"/>
    <s v="2 ACAXOCHITLÁN"/>
    <s v="BARRIO LOS TRUNCOS "/>
    <s v="MASCULINO "/>
    <n v="7821214689"/>
    <m/>
    <n v="1"/>
    <n v="1"/>
    <n v="4"/>
    <s v="CENTRO ORIENTE"/>
    <s v="ZONA TULANCINGO"/>
  </r>
  <r>
    <n v="114"/>
    <s v="443"/>
    <x v="3"/>
    <d v="2026-06-01T00:00:00"/>
    <s v="CAAySSPPEEH/DL/0491/2026"/>
    <m/>
    <s v="COMITÉ DE ADQUISICIONES, ARRENDAMIENTOS Y SERVICIOS DEL SECTOR PÚBLICO DEL ESTADO DE HIDALGO, SOLICITA DESIGNAR A UN REPRESENTANTE PARA PARTICIPAR EN EL PROCEDIMIENTO DE LICITACIÓN."/>
    <s v="ARQ. ORLANDO"/>
    <s v="ALTO"/>
    <d v="2026-06-01T00:00:00"/>
    <x v="0"/>
    <s v="N/A"/>
    <s v="AEEH/DG/468/2026, DE FECHA 26/05/2026, ENVIADO AL COMITÉ DE ADQUISICIONES, ARRENDAMIENTOS Y SERVICIOS DEL SECTOR PÚBLICO DEL ESTADO DE HIDALGO, MEDIANTE CORREO ELECTRONICO DEL ARQ. ORLANDO MARTÍNEZ"/>
    <x v="2"/>
    <s v="N/A"/>
    <s v="N/A"/>
    <s v="N/A"/>
    <s v="N/A"/>
    <s v="N/A"/>
    <s v="N/A"/>
    <s v="N/A"/>
    <s v="DEPENDENCIA ESTATAL "/>
    <x v="1"/>
    <x v="4"/>
    <m/>
    <m/>
    <m/>
    <m/>
    <m/>
    <m/>
    <m/>
    <m/>
    <s v="N/A"/>
    <s v="N/A"/>
  </r>
  <r>
    <n v="115"/>
    <s v="432"/>
    <x v="4"/>
    <d v="2026-05-26T00:00:00"/>
    <s v="CENAGAS-DG/00111/2026"/>
    <s v="AEEH-2*1S.4/10-2026_x000a_CONSULTA PÚBLICA 2026 - CENAGAS "/>
    <s v="CENTRO NACIONAL DE CONTROL DEL GAS NATURAL (CENAGAS), ENVIA LA INVITACIÓN PARA PARTICIPAR EN LA CONSULTA PÚBLICA 2026, EN EL QUE SE CELEBRARÁ UN FORO CONSULTIVO, MESAS DE TRABAJO Y TALLERES. DEL 01 DE JUNIO AL 31 DE JULIO "/>
    <s v="ARQ. ORLANDO"/>
    <s v="MEDIO"/>
    <d v="2026-05-27T00:00:00"/>
    <x v="0"/>
    <s v="N/A"/>
    <s v="AEEH/DG/474/2026, DE FECHA 27/05/2026, ENVIADO AL ING. CUITLÁHUAC GARCÍA JIMÉNEZ, DIRECTOR GENERAL DE CENAGAS._x000a_ARQ. ORLANDO Y ARQ. DIEGO ASISTEN AL FORO CONSULTIVO EL DÍA 4 DE JUNIO 2026._x000a_AEEH/DG/567/2026, DE FECHA 23/06/2026, ENVIADO AL ING. SAYNÉ MEZA MARTÍNEZ, TITULAR DE LA JEFATURA DE LA UNIDAD DE GESTIÓN TÉCNICA Y PLANEACIÓN DEL CENTRO NACIONAL DE CONTROL DE GAS NATURAL (CENAGAS)._x000a_AEEH/DG/568/2026 DE FECHA 24/06/2026 EN ALCANCE AEEH/DG/0617/2026, DE FECHA 03/07/2026. ENVIADO A LA ING. CINTHYA YARELY MEZA CORTÉS, DIRECTORA GENERAL DE LA AGENCIA DE DESARROLLO VALLE DE PLATA._x000a_ AEEH/DG/569/2026, DE FECHA 23/06/2026, EN ALCANCE AEEH/DG/0616/2026 DE FECHA 03/07/2026,  ENVIADO A LA ARQ. MARIANA PÉREZ GARCÍA, DIRECTORA GENERAL DE LA CORPORACIÓN DE FOMENTO DE INFRAESTRUCTURA INDUSTRIAL._x000a_ AEEH/DG/570/2026, DE FECHA 23/06/2026 EN ALCANCE AEEH/DG/0615/2026 E FECHA 03/07/2026, ENVIADO AL MTRO. ERNESTO CADENA ACOSTA, SUBSECRETARIO DE INVERSIONES Y ECONOMÍA SECTORIAL DE SEDECO  - DAN RESPUESTA CON SEDECO/SIyES/100/2026: REMITEN LA INFORMACIÓN SOLICITADA _x000a_AEEH/DG/0716/2026 DE FECHA 29/07/2026 ENVIADO AL DIRECTOR GENERAL DEL CENTRO NACIONAL DE CONTROL DE GAS NATURAL, ENVIA INFORMACIÓN RECOPILADA EN HIDALGO PARA LA CONSULTA PÚBLICA CENAGAS 2026"/>
    <x v="2"/>
    <s v="N/A"/>
    <s v="N/A"/>
    <s v="N/A"/>
    <s v="N/A"/>
    <s v="N/A"/>
    <s v="N/A"/>
    <s v="N/A"/>
    <s v="DEPENDENCIA FEDERAL  "/>
    <x v="1"/>
    <x v="4"/>
    <m/>
    <m/>
    <m/>
    <s v="55 5018 5400"/>
    <m/>
    <n v="0"/>
    <n v="0"/>
    <m/>
    <s v="N/A"/>
    <s v="N/A"/>
  </r>
  <r>
    <n v="116"/>
    <s v="414"/>
    <x v="4"/>
    <d v="2026-05-20T00:00:00"/>
    <s v="SEDECO/CGI/TI/0601/2026_x000a_SDPEE/DGAP/2990/2026"/>
    <s v="AEEH-2*1S.1/01-2026_x000a_ASESORIAS EN MATERIA ENERGÉTICA (VARIOS MUNICIPIOS)"/>
    <s v="ATENDER AL DELEGADO MARGARITO LEMUS TEMPLOS, QUIEN SOLICITA ALUMBRADO PUBLICO EN SU LOCALIDAD "/>
    <s v="ING. FRANCISCO"/>
    <s v="ALTO"/>
    <d v="2026-05-20T00:00:00"/>
    <x v="0"/>
    <s v="SDE-UC-00698-26"/>
    <s v="AEEH/DG/476/2026, DE FECHA 29/05/2026, ENVIADO AL ING. OCTAVIO GÓMEZ PAULIN, COORDINADOR DE GESTIÓN INSTITUCIONAL  "/>
    <x v="2"/>
    <s v="N/A"/>
    <s v="N/A"/>
    <s v="N/A"/>
    <s v="SI"/>
    <s v="AEEH/DG/599/2026, DE FECHA 30/06/2026, ENVIADO AL C. JUAN ANTONIO FRANCO ORTÍZ, PRESIDENTE MUNICIPAL DE METEPEC"/>
    <m/>
    <m/>
    <s v="DELEGADO (A) MUNICIPAL "/>
    <x v="0"/>
    <x v="1"/>
    <s v="35 METEPEC"/>
    <s v="EL NOPALILLO "/>
    <s v="MASCULINO "/>
    <n v="7751023519"/>
    <m/>
    <n v="1"/>
    <n v="0"/>
    <m/>
    <s v="GOLFO CENTRO"/>
    <s v="ZONA HUEJUTLA "/>
  </r>
  <r>
    <n v="117"/>
    <s v="413"/>
    <x v="4"/>
    <d v="2026-05-20T00:00:00"/>
    <s v="SEDECO/CGI/TI/0599/2026_x000a_SDPEE/DGAP/2971/2026"/>
    <s v="AEEH-2*1S.1/01-2026_x000a_ASESORIAS EN MATERIA ENERGÉTICA (VARIOS MUNICIPIOS)"/>
    <s v="ATENDER AL DELEGADO JUAN BAUTISTA HERNÁNDEZ, QUIEN SOLICITA LA AMPLIACIÓN DE RED ELECTRICA EN SU COMUNIDAD "/>
    <s v="ING. FRANCISCO"/>
    <s v="ALTO"/>
    <d v="2026-05-20T00:00:00"/>
    <x v="0"/>
    <s v="SDE-UC-00700-26"/>
    <s v="AEEH/DG/477/2026, DE FECHA 29/05/2026, ENVIADO AL ING. OCTAVIO GÓMEZ PAULIN, COORDINADOR DE GESTIÓN INSTITUCIONAL  "/>
    <x v="0"/>
    <s v="AEEH/DG/0731/2026, DE FECHA 03/08/2026, ENVIADO AL ING. HUGO ALEJANDRO ABUNDIS GONZÁLEZ "/>
    <s v="NO"/>
    <s v="N/A"/>
    <s v="N/A"/>
    <s v="N/A"/>
    <s v="N/A"/>
    <s v="N/A"/>
    <s v="DELEGADO (A) MUNICIPAL "/>
    <x v="0"/>
    <x v="2"/>
    <s v="28 HUEJUTLA DE REYES"/>
    <s v="COAMLIA"/>
    <s v="MASCULINO "/>
    <n v="7713290879"/>
    <m/>
    <n v="1"/>
    <n v="0"/>
    <m/>
    <s v="GOLFO CENTRO"/>
    <s v="ZONA HUEJUTLA "/>
  </r>
  <r>
    <n v="118"/>
    <s v="418"/>
    <x v="4"/>
    <d v="2026-05-20T00:00:00"/>
    <s v="SEDECO/CGI/TI/0608/2026_x000a_SDPEE/DGAP/3060/2026"/>
    <s v="AEEH-2*1S.1/01-2026_x000a_ASESORIAS EN MATERIA ENERGÉTICA (VARIOS MUNICIPIOS)"/>
    <s v="ATENDER AL C. JOSE AQUINO NARANJO QUIEN SOLICITA LA TERMINACIÓN DE LA AMPLIACIÓN DEL SERVICIO DE ENERGÍA ELECTRICA EN SU LOCALIDAD "/>
    <s v="ING. FRANCISCO"/>
    <s v="ALTO"/>
    <d v="2026-05-20T00:00:00"/>
    <x v="0"/>
    <s v="SDE-UC-00716-26"/>
    <s v="AEEH/DG/478/2026, DE FECHA 29/05/2026, ENVIADO AL ING. OCTAVIO GÓMEZ PAULIN, COORDINADOR DE GESTIÓN INSTITUCIONAL  "/>
    <x v="0"/>
    <s v="AEEH/DG/0731/2026, DE FECHA 03/08/2026, ENVIADO AL ING. HUGO ALEJANDRO ABUNDIS GONZÁLEZ "/>
    <s v="NO"/>
    <s v="N/A"/>
    <s v="N/A"/>
    <s v="N/A"/>
    <s v="N/A"/>
    <s v="N/A"/>
    <s v="DELEGADO (A) MUNICIPAL "/>
    <x v="0"/>
    <x v="2"/>
    <s v="11 ATLAPEXCO"/>
    <m/>
    <s v="MASCULINO "/>
    <n v="7715263559"/>
    <m/>
    <n v="1"/>
    <n v="0"/>
    <m/>
    <s v="GOLFO CENTRO"/>
    <s v="ZONA HUEJUTLA "/>
  </r>
  <r>
    <n v="119"/>
    <s v="417"/>
    <x v="4"/>
    <d v="2026-05-20T00:00:00"/>
    <s v="SEDECO/CGI/TI/0607/2026_x000a_SDPEE/DGAP/3021/2026"/>
    <s v="AEEH-2*1S.1/01-2026_x000a_ASESORIAS EN MATERIA ENERGÉTICA (VARIOS MUNICIPIOS)"/>
    <s v="ATENDER A MARILY RUIZ SERNA, QUIEN SOLICITA EL SERVICIO DE ENERGIA ELECTRICA EN SU LOCALIDAD "/>
    <s v="ING. FRANCISCO"/>
    <s v="ALTO"/>
    <d v="2026-05-20T00:00:00"/>
    <x v="0"/>
    <s v="SDE-UC-00724-26"/>
    <s v="AEEH/DG/479/2026, DE FECHA 29/05/2026, ENVIADO AL ING. OCTAVIO GÓMEZ PAULIN, COORDINADOR DE GESTIÓN INSTITUCIONAL  "/>
    <x v="0"/>
    <s v="AEEH/DG/504/2026, DE FECHA 05/06/2026, ENVIADO AL ING. HUGO ALEJANDRO ABUNDIS GONZÁLEZ, SUPERINTENDENTE DE CFE DISTRIBUCIÓN ZONA HUEJUTLA"/>
    <s v="N/A"/>
    <s v="N/A"/>
    <s v="N/A"/>
    <s v="N/A"/>
    <s v="N/A"/>
    <s v="N/A"/>
    <s v="CIUDADANO (A)"/>
    <x v="0"/>
    <x v="2"/>
    <s v="20 ELOXOCHITLÁN"/>
    <m/>
    <s v="FEMENINO "/>
    <n v="7713560809"/>
    <m/>
    <n v="1"/>
    <n v="0"/>
    <m/>
    <s v="GOLFO CENTRO"/>
    <s v="ZONA HUEJUTLA "/>
  </r>
  <r>
    <n v="120"/>
    <s v="416"/>
    <x v="4"/>
    <d v="2026-05-20T00:00:00"/>
    <s v="SEDECO/CGI/TI/0600/2026_x000a_SDPEE/DGAP/2986/2026"/>
    <s v="AEEH-2*1S.1/01-2026_x000a_ASESORIAS EN MATERIA ENERGÉTICA (VARIOS MUNICIPIOS)"/>
    <s v="ATENDER A ROSALVA TEPETITLA GALINDO, QUIEN SOLICITA EL SERVICIO DE ENERGIA ELECTRICA EN SU LOCALIDAD "/>
    <s v="ING. FRANCISCO"/>
    <s v="ALTO"/>
    <d v="2026-05-20T00:00:00"/>
    <x v="0"/>
    <s v="SDE-UC-00697-26"/>
    <s v="AEEH/DG/480/2026, DE FECHA 29/05/2026, ENVIADO AL ING. OCTAVIO GÓMEZ PAULIN, COORDINADOR DE GESTIÓN INSTITUCIONAL  "/>
    <x v="2"/>
    <s v="N/A"/>
    <s v="N/A"/>
    <s v="N/A"/>
    <s v="N/A"/>
    <s v="N/A"/>
    <s v="N/A"/>
    <s v="N/A"/>
    <s v="CIUDADANO (A)"/>
    <x v="0"/>
    <x v="2"/>
    <s v="77 TULANCINGO DE BRAVO"/>
    <s v="COL. LAS AMERICAS "/>
    <s v="FEMENINO "/>
    <n v="7752069491"/>
    <m/>
    <n v="1"/>
    <n v="0"/>
    <m/>
    <s v="CENTRO ORIENTE"/>
    <s v="ZONA TULANCINGO"/>
  </r>
  <r>
    <n v="121"/>
    <s v="425"/>
    <x v="4"/>
    <d v="2026-05-26T00:00:00"/>
    <s v="SEDECO/CGI/TI/0627/2026_x000a_SDPEE/DGAP/3129/2026"/>
    <s v="AEEH-2*1S.1/01-2026_x000a_ASESORIAS EN MATERIA ENERGÉTICA (VARIOS MUNICIPIOS)"/>
    <s v="ATENDER A VICTORINO TRANQUILINO MONROY, QUIEN SOLICITA LA AMPLIACIÓN DE ALUMBRADO PÚBLICO EN SU LOCALIDAD "/>
    <s v="ING. FRANCISCO"/>
    <s v="ALTO"/>
    <d v="2026-05-27T00:00:00"/>
    <x v="0"/>
    <s v="SDE-UC-00747-26"/>
    <s v="AEEH/DG/489/2026, DE FECHA 01/06/2026, ENVIADO AL ING. OCTAVIO GÓMEZ PAULIN, COORDINADOR DE GESTIÓN INSTITUCIONAL  _x000a_AEEH/DG/501/2026, DE FECHA 05/06/2026, ENVIADO AL ING. OCTAVIO GÓMEZ PAULIN, COORDINADOR DE GESTIÓN INSTITUCIONAL  "/>
    <x v="2"/>
    <s v="N/A"/>
    <s v="N/A"/>
    <s v="N/A"/>
    <s v="N/A"/>
    <s v="N/A"/>
    <s v="N/A"/>
    <s v="N/A"/>
    <s v="CIUDADANO (A)"/>
    <x v="0"/>
    <x v="1"/>
    <s v="60 TENANGO DE DORIA"/>
    <s v="EL NANTHE "/>
    <s v="MASCULINO "/>
    <s v="771 964 1734"/>
    <m/>
    <n v="1"/>
    <n v="1"/>
    <m/>
    <s v="GOLFO CENTRO"/>
    <s v="ZONA HUEJUTLA "/>
  </r>
  <r>
    <n v="122"/>
    <s v="426"/>
    <x v="4"/>
    <d v="2026-05-26T00:00:00"/>
    <s v="SEDECO/CGI/TI/0630/2026_x000a_SDPEE/DGAP/3150/2026"/>
    <s v="AEEH-2*1S.1/01-2026_x000a_ASESORIAS EN MATERIA ENERGÉTICA (VARIOS MUNICIPIOS)"/>
    <s v="ATENDER A ROSA MARÍA SÁNCHEZ ORTÍZ, QUIEN SOLICITA LA INSTALACIÓN DEL SERVICIO DE LUZ EN SU LOCALIDAD "/>
    <s v="ING. FRANCISCO"/>
    <s v="ALTO"/>
    <d v="2026-05-27T00:00:00"/>
    <x v="0"/>
    <s v="SDE-UC-00749-26"/>
    <s v="AEEH/DG/490/2026, DE FECHA 01/06/2026, ENVIADO AL ING. OCTAVIO GÓMEZ PAULIN, COORDINADOR DE GESTIÓN INSTITUCIONAL  _x000a_AEEH/DG/502/2026, DE FECHA 05/06/2026, ENVIADO AL ING. OCTAVIO GÓMEZ PAULIN, COORDINADOR DE GESTIÓN INSTITUCIONAL  "/>
    <x v="2"/>
    <s v="N/A"/>
    <s v="N/A"/>
    <s v="N/A"/>
    <s v="N/A"/>
    <s v="N/A"/>
    <s v="N/A"/>
    <s v="N/A"/>
    <s v="CIUDADANO (A)"/>
    <x v="0"/>
    <x v="2"/>
    <s v="21 EMILIANO ZAPATA"/>
    <s v="SANTA CLARA"/>
    <s v="FEMENINO "/>
    <s v="775 114 1437"/>
    <m/>
    <n v="1"/>
    <n v="1"/>
    <m/>
    <s v="CENTRO ORIENTE"/>
    <s v="ZONA TULANCINGO"/>
  </r>
  <r>
    <n v="123"/>
    <s v="427"/>
    <x v="4"/>
    <d v="2026-05-26T00:00:00"/>
    <s v="SEDECO/CGI/TI/0631/2026_x000a_SDPEE/DGAP/3147/2026"/>
    <s v="AEEH-2*1S.1/01-2026_x000a_ASESORIAS EN MATERIA ENERGÉTICA (VARIOS MUNICIPIOS)"/>
    <s v="ATENDER A RAFAELA GONZÁLEZ LÓPEZ, A FIN DE INSTALAR ALUMBRADO PÚBLICO EN SU LOCALIDAD "/>
    <s v="ING. FRANCISCO"/>
    <s v="ALTO"/>
    <d v="2026-05-27T00:00:00"/>
    <x v="0"/>
    <s v="SDE-UC-00748-26"/>
    <s v="AEEH/DG/491/2026, DE FECHA 01/06/2026, ENVIADO AL ING. OCTAVIO GÓMEZ PAULIN, COORDINADOR DE GESTIÓN INSTITUCIONAL  _x000a_AEEH/DG/503/2026, DE FECHA 05/06/2026, ENVIADO AL ING. OCTAVIO GÓMEZ PAULIN, COORDINADOR DE GESTIÓN INSTITUCIONAL  "/>
    <x v="2"/>
    <s v="N/A"/>
    <s v="N/A"/>
    <s v="N/A"/>
    <s v="N/A"/>
    <s v="N/A"/>
    <s v="N/A"/>
    <s v="N/A"/>
    <s v="CIUDADANO (A)"/>
    <x v="0"/>
    <x v="1"/>
    <s v="8 APAN"/>
    <s v="SAN JUAN IXTILMACO "/>
    <s v="FEMENINO "/>
    <s v="481 110 8824"/>
    <m/>
    <n v="1"/>
    <n v="1"/>
    <m/>
    <s v="CENTRO ORIENTE"/>
    <s v="ZONA TULANCINGO"/>
  </r>
  <r>
    <n v="124"/>
    <s v="455"/>
    <x v="3"/>
    <d v="2026-06-02T00:00:00"/>
    <s v="SEDECO/CGI/TI/0680/2026_x000a_SDPEE/DGAP/3449/2026"/>
    <s v="AEEH-2*1S.1/01-2026_x000a_ASESORIAS EN MATERIA ENERGÉTICA (VARIOS MUNICIPIOS)"/>
    <s v="ATENDER A MATEO ÁNGELES FALCÓN, DE LA ASOCIACIÓN DE CAMPESINOS DE BOMBEO Y REBOMBEO DEL CERRO XICUCO, QUIEN SOLICITA LA REESTRUCTURACIÓN DE LA SUBESTACIÓN ELECTRICA "/>
    <s v="ING. FRANCISCO"/>
    <s v="ALTO"/>
    <d v="2026-06-02T00:00:00"/>
    <x v="0"/>
    <s v="SDE-UC-00860-26"/>
    <s v="AEEH/DG/541/2026, DE FECHA 16/06/2026, ENVIADO AL ING. OCTAVIO GÓMEZ PAULIN, COORDINADOR DE GESTIÓN INSTITUCIONAL "/>
    <x v="2"/>
    <s v="N/A"/>
    <s v="N/A"/>
    <s v="N/A"/>
    <s v="N/A"/>
    <s v="N/A"/>
    <s v="N/A"/>
    <s v="N/A"/>
    <s v="CIUDADANO (A)"/>
    <x v="0"/>
    <x v="0"/>
    <s v="67 TEZONTEPEC DE ALDAMA"/>
    <m/>
    <m/>
    <m/>
    <m/>
    <m/>
    <m/>
    <m/>
    <m/>
    <s v="ZONA TULA"/>
  </r>
  <r>
    <n v="125"/>
    <s v="460"/>
    <x v="3"/>
    <d v="2026-06-02T00:00:00"/>
    <s v="SEDECO/CGI/TI/0689/2026_x000a_SDPEE/DGAP/3571/2026"/>
    <s v="AEEH-2*1S.1/01-2026_x000a_ASESORIAS EN MATERIA ENERGÉTICA (VARIOS MUNICIPIOS)"/>
    <s v="ATENDER A NORBERTO CANO RESENDIZ, QUIEN SOLICITA LA DONACIÓN DE UN SISTEMA SOLAR FOTOVOLTAICO PARA ABASTECER LAS NECESIDADES DE SU INVERNADERO "/>
    <s v="ARQ. DIEGO"/>
    <s v="ALTO"/>
    <d v="2026-06-02T00:00:00"/>
    <x v="0"/>
    <s v="SDE-UC-00878-26"/>
    <s v="AEEH/DG/542/2026, DE FECHA 16/06/2026, ENVIADO AL ING. OCTAVIO GÓMEZ PAULIN, COORDINADOR DE GESTIÓN INSTITUCIONAL _x000a_AEEH/DG/709/2026, DE FECHA 29/07/2026, ENVIADO AL ING. OCTAVIO GÓMEZ PAULIN, COORDINADOR DE GESTIÓN INSTITUCIONAL _x000a_AEEH/DG/0754/2026, DE FECHA 06/08/2026, ENVIADO AL MTRO. HORACIO FRANCISCO RÍOS CANO, SUBSECRETARIO DE FOMENTO ECONÓMICO DE SEDECO."/>
    <x v="2"/>
    <s v="N/A"/>
    <s v="N/A"/>
    <s v="N/A"/>
    <s v="N/A"/>
    <s v="N/A"/>
    <s v="N/A"/>
    <s v="N/A"/>
    <s v="CIUDADANO (A)"/>
    <x v="0"/>
    <x v="8"/>
    <s v="50 PROGRESO DE OBREGÓN"/>
    <s v="XOCHITLÁN"/>
    <m/>
    <m/>
    <m/>
    <m/>
    <m/>
    <m/>
    <m/>
    <s v="ZONA TULA"/>
  </r>
  <r>
    <n v="126"/>
    <s v="451"/>
    <x v="3"/>
    <d v="2026-06-02T00:00:00"/>
    <s v="SEDECO/CGI/TI/0674/2026_x000a_SDPEE/DGAP/3386/2026"/>
    <s v="AEEH-2*1S.1/01-2026_x000a_ASESORIAS EN MATERIA ENERGÉTICA (VARIOS MUNICIPIOS)"/>
    <s v="ATENDER A LOURDES PAOLA OMAÑA QUIJANO, QUIEN SOLICITA LA INSTALACIÓN Y REHABILITACIÓN DE ALUMBRADO PÚBLICO EN ACCESOS PRINCIPALES DE LA LOCALIDAD  "/>
    <s v="ING. FRANCISCO"/>
    <s v="ALTO"/>
    <d v="2026-06-02T00:00:00"/>
    <x v="0"/>
    <s v="SDE-UC-00856-26"/>
    <s v="AEEH/DG/543/2026, DE FECHA 16/06/2026, ENVIADO AL ING. OCTAVIO GÓMEZ PAULIN, COORDINADOR DE GESTIÓN INSTITUCIONAL "/>
    <x v="2"/>
    <s v="N/A"/>
    <s v="N/A"/>
    <s v="N/A"/>
    <s v="N/A"/>
    <s v="N/A"/>
    <s v="N/A"/>
    <s v="N/A"/>
    <s v="CIUDADANO (A)"/>
    <x v="0"/>
    <x v="1"/>
    <s v="67 TEZONTEPEC DE ALDAMA"/>
    <s v="ZONA TULA"/>
    <m/>
    <m/>
    <m/>
    <m/>
    <m/>
    <m/>
    <m/>
    <s v="ZONA TULA"/>
  </r>
  <r>
    <n v="127"/>
    <s v="458"/>
    <x v="3"/>
    <d v="2026-06-02T00:00:00"/>
    <s v="SEDECO/CGI/TI/0687/2026_x000a_SDPEE/DGAP/3548/2026"/>
    <s v="AEEH-2*1S.1/01-2026_x000a_ASESORIAS EN MATERIA ENERGÉTICA (VARIOS MUNICIPIOS)"/>
    <s v="ATENDER A VERONICA VIAREL CRUZ RENDON, QUIEN SOLICITA ALUMBRADO PÚBLICO EN CALLES DE SU LOCALIDAD "/>
    <s v="ING. FRANCISCO"/>
    <s v="ALTO"/>
    <d v="2026-06-02T00:00:00"/>
    <x v="0"/>
    <s v="SDE-UC-00876-26"/>
    <s v="AEEH/DG/544/2026, DE FECHA 16/06/2026, ENVIADO AL ING. OCTAVIO GÓMEZ PAULIN, COORDINADOR DE GESTIÓN INSTITUCIONAL "/>
    <x v="2"/>
    <s v="N/A"/>
    <s v="N/A"/>
    <s v="N/A"/>
    <s v="2.- ALUMBRADO PÚBLICO"/>
    <m/>
    <m/>
    <m/>
    <s v="CIUDADANO (A)"/>
    <x v="0"/>
    <x v="1"/>
    <s v="77 TULANCINGO DE BRAVO"/>
    <s v="HUAJOMULCO "/>
    <m/>
    <m/>
    <m/>
    <m/>
    <m/>
    <m/>
    <m/>
    <s v="ZONA TULANCINGO"/>
  </r>
  <r>
    <n v="128"/>
    <s v="449"/>
    <x v="3"/>
    <d v="2026-06-02T00:00:00"/>
    <s v="SEDECO/CGI/TI/0672/2026_x000a_SDPEE/DGAP/3374/2026"/>
    <s v="AEEH-2*1S.1/01-2026_x000a_ASESORIAS EN MATERIA ENERGÉTICA (VARIOS MUNICIPIOS)"/>
    <s v="ATENDER A CECILIO MOTA QUIJANO, QUIEN SOLICITA 50 LUMINARIAS DE ALUMBRADO PÚBLICO DE 100 W."/>
    <s v="ARQ. DIEGO"/>
    <s v="ALTO"/>
    <d v="2026-06-02T00:00:00"/>
    <x v="0"/>
    <s v="SDE-UC-00832-26"/>
    <s v="AEEH/DG/545/2026, DE FECHA 16/06/2026, ENVIADO AL ING. OCTAVIO GÓMEZ PAULIN, COORDINADOR DE GESTIÓN INSTITUCIONAL _x000a_AEEH/DG/673/2026, DE FECHA 14/07/2026, ENVIADO AL ING. OCTAVIO GÓMEZ PAULIN, COORDINADOR DE GESTIÓN INSTITUCIONAL "/>
    <x v="2"/>
    <s v="N/A"/>
    <s v="N/A"/>
    <s v="N/A"/>
    <s v="SI"/>
    <s v="AEEH/DG/667/2026, DE FECHA 13/07/2026, ENVIADO A LA LIC. ANA MARÍA RIVERA CONTRERAS, PRESIDENTA MUNICIPAL CONSTITUCIONAL DE TEZONTEPEC DE ALDAMA "/>
    <m/>
    <m/>
    <s v="CIUDADANO (A)"/>
    <x v="0"/>
    <x v="1"/>
    <s v="67 TEZONTEPEC DE ALDAMA"/>
    <s v="MANGAS"/>
    <m/>
    <m/>
    <m/>
    <m/>
    <m/>
    <m/>
    <m/>
    <s v="ZONA TULA"/>
  </r>
  <r>
    <n v="129"/>
    <s v="450"/>
    <x v="3"/>
    <d v="2026-06-02T00:00:00"/>
    <s v="SEDECO/CGI/TI/0673/2026_x000a_SDPEE/DGAP/3387/2026"/>
    <s v="AEEH-2*1S.1/01-2026_x000a_ASESORIAS EN MATERIA ENERGÉTICA (VARIOS MUNICIPIOS)"/>
    <s v="ATENDER A ANTONIO ORTÍZ ALVARADO, QUIEN SOLICITA LAMPARAS PARA LA PLAZA CIVICA DE SU MUNICIPIO "/>
    <s v="ING. FRANCISCO"/>
    <s v="ALTO"/>
    <d v="2026-06-02T00:00:00"/>
    <x v="0"/>
    <s v="SDE-UC-00857-26"/>
    <s v="AEEH/DG/546/2026, DE FECHA 16/06/2026, ENVIADO AL ING. OCTAVIO GÓMEZ PAULIN, COORDINADOR DE GESTIÓN INSTITUCIONAL "/>
    <x v="2"/>
    <s v="N/A"/>
    <s v="N/A"/>
    <s v="N/A"/>
    <s v="N/A"/>
    <s v="N/A"/>
    <s v="N/A"/>
    <s v="N/A"/>
    <s v="CIUDADANO (A)"/>
    <x v="0"/>
    <x v="1"/>
    <s v="67 TEZONTEPEC DE ALDAMA"/>
    <s v="05 DE FEBRERO"/>
    <m/>
    <m/>
    <m/>
    <m/>
    <m/>
    <m/>
    <m/>
    <s v="ZONA TULA"/>
  </r>
  <r>
    <n v="130"/>
    <s v="448"/>
    <x v="3"/>
    <d v="2026-06-02T00:00:00"/>
    <s v="SEDECO/CGI/TI/0671/2026_x000a_SDPEE/DGAP/3367/2026"/>
    <s v="AEEH-2*1S.1/01-2026_x000a_ASESORIAS EN MATERIA ENERGÉTICA (VARIOS MUNICIPIOS)"/>
    <s v="ATENDER A JUANA ÁVILES BRAVO, QUIEN SOLICITA APOYO CON LA REHABILITACIÓN DE ALUMBRADO PÚBLICO EN CALLES DE SU LOCALIDAD "/>
    <s v="ING. FRANCISCO"/>
    <s v="ALTO"/>
    <d v="2026-06-02T00:00:00"/>
    <x v="0"/>
    <s v="SDE-UC-00831-26"/>
    <s v="AEEH/DG/547/2026, DE FECHA 16/06/2026, ENVIADO AL ING. OCTAVIO GÓMEZ PAULIN, COORDINADOR DE GESTIÓN INSTITUCIONAL "/>
    <x v="2"/>
    <s v="N/A"/>
    <s v="N/A"/>
    <s v="N/A"/>
    <s v="N/A"/>
    <s v="N/A"/>
    <s v="N/A"/>
    <s v="N/A"/>
    <s v="DELEGADO (A) MUNICIPAL "/>
    <x v="0"/>
    <x v="1"/>
    <s v="50 PROGRESO DE OBREGÓN"/>
    <s v="EL BONDHO "/>
    <m/>
    <m/>
    <m/>
    <m/>
    <m/>
    <m/>
    <m/>
    <s v="ZONA TULA"/>
  </r>
  <r>
    <n v="131"/>
    <s v="457"/>
    <x v="3"/>
    <d v="2026-06-02T00:00:00"/>
    <s v="SEDECO/CGI/TI/0686/2026_x000a_SDPEE/DGAP/3546/2026"/>
    <s v="AEEH-2*1S.1/01-2026_x000a_ASESORIAS EN MATERIA ENERGÉTICA (VARIOS MUNICIPIOS)"/>
    <s v="ATENDER A MARÍA ELENA BLANCAS VERA, QUIEN SOLICITA ALUMBRADO PÚBLICO EN SU LOCALIDAD"/>
    <s v="ING. FRANCISCO"/>
    <s v="ALTO"/>
    <d v="2026-06-02T00:00:00"/>
    <x v="0"/>
    <s v="SDE-UC-00877-26"/>
    <s v="AEEH/DG/548/2026, DE FECHA 16/06/2026, ENVIADO AL ING. OCTAVIO GÓMEZ PAULIN, COORDINADOR DE GESTIÓN INSTITUCIONAL "/>
    <x v="2"/>
    <s v="N/A"/>
    <s v="N/A"/>
    <s v="N/A"/>
    <s v="N/A"/>
    <s v="N/A"/>
    <s v="N/A"/>
    <s v="N/A"/>
    <s v="CIUDADANO (A)"/>
    <x v="0"/>
    <x v="1"/>
    <s v="77 TULANCINGO DE BRAVO"/>
    <s v="LAGUNA DEL CERRITO "/>
    <m/>
    <m/>
    <m/>
    <m/>
    <m/>
    <m/>
    <m/>
    <s v="ZONA TULANCINGO"/>
  </r>
  <r>
    <n v="132"/>
    <s v="471"/>
    <x v="3"/>
    <d v="2026-06-09T00:00:00"/>
    <s v="SEDECO/CGI/TI/0696/2026_x000a_SDPEE/DGAP/3611/2026"/>
    <s v="AEEH-2*1S.1/01-2026_x000a_ASESORIAS EN MATERIA ENERGÉTICA (VARIOS MUNICIPIOS)"/>
    <s v="ATENDER A CARMELO HERNÁNDEZ ZENIL DEL COMITÉ DE PRODUCTORES UNIDOS AGROPECUARIOS, QUIEN SOLICITA EL CAMBIO DE UN TRANSFORMADOR "/>
    <s v="ING. FRANCISCO"/>
    <s v="ALTO"/>
    <d v="2026-06-09T00:00:00"/>
    <x v="0"/>
    <s v="SDE-UC-00914-26"/>
    <s v="AEEH/DG/558/2026, DE FECHA 22/06/2026, ENVIADO AL ING. OCTAVIO GÓMEZ PAULIN, COORDINADOR DE GESTIÓN INSTITUCIONAL "/>
    <x v="2"/>
    <s v="N/A"/>
    <s v="N/A"/>
    <s v="N/A"/>
    <m/>
    <m/>
    <m/>
    <m/>
    <s v="CIUDADANO (A)"/>
    <x v="0"/>
    <x v="0"/>
    <s v="19 CHILCUAUTLA"/>
    <m/>
    <m/>
    <m/>
    <m/>
    <m/>
    <m/>
    <m/>
    <m/>
    <s v="ZONA TULA"/>
  </r>
  <r>
    <n v="133"/>
    <s v="472"/>
    <x v="3"/>
    <d v="2026-06-09T00:00:00"/>
    <s v="SEDECO/CGI/TI/0697/2026_x000a_SDPEE/DGAP/3640/2026"/>
    <s v="AEEH-2*1S.1/01-2026_x000a_ASESORIAS EN MATERIA ENERGÉTICA (VARIOS MUNICIPIOS)"/>
    <s v="ATENDER A ÁNGEL MEJÍA MARTÍNEZ, QUIEN SOLICITA ENERGÍA ELECTRICA EN LA CALLE LA PALMA, INTERSECCIÓN AV. UNIVERSIDAD UBBJG"/>
    <s v="ING. FRANCISCO"/>
    <s v="ALTO"/>
    <d v="2026-06-09T00:00:00"/>
    <x v="0"/>
    <s v="SDE-UC-00916-26"/>
    <s v="AEEH/DG/559/2026, DE FECHA 22/06/2026, ENVIADO AL ING. OCTAVIO GÓMEZ PAULIN, COORDINADOR DE GESTIÓN INSTITUCIONAL "/>
    <x v="2"/>
    <s v="N/A"/>
    <s v="N/A"/>
    <s v="N/A"/>
    <m/>
    <m/>
    <m/>
    <m/>
    <s v="CIUDADANO (A)"/>
    <x v="0"/>
    <x v="2"/>
    <s v="19 CHILCUAUTLA"/>
    <m/>
    <m/>
    <m/>
    <m/>
    <m/>
    <m/>
    <m/>
    <m/>
    <s v="ZONA TULA"/>
  </r>
  <r>
    <n v="134"/>
    <s v="484"/>
    <x v="3"/>
    <d v="2026-06-09T00:00:00"/>
    <s v="SEDECO/CGI/TI/0719/2026_x000a_SDPEE/DGAP/3723/2026"/>
    <s v="AEEH-2*1S.1/01-2026_x000a_ASESORIAS EN MATERIA ENERGÉTICA (VARIOS MUNICIPIOS)"/>
    <s v="ATENDER A CARLOS ALBERTO ÁNGELES PÉREZ, QUIEN SOLICITA MEJORAR EL ALUMBRADO PÚBLICO EN DIVERSAS CALLES DE SU LOCALIDAD  "/>
    <s v="ING. FRANCISCO"/>
    <s v="ALTO"/>
    <d v="2026-06-09T00:00:00"/>
    <x v="0"/>
    <s v="SDE-UC-00934-26"/>
    <s v="AEEH/DG/560/2026, DE FECHA 22/06/2026, ENVIADO AL ING. OCTAVIO GÓMEZ PAULIN, COORDINADOR DE GESTIÓN INSTITUCIONAL "/>
    <x v="2"/>
    <s v="N/A"/>
    <s v="N/A"/>
    <s v="N/A"/>
    <m/>
    <m/>
    <m/>
    <m/>
    <s v="CIUDADANO (A)"/>
    <x v="0"/>
    <x v="2"/>
    <s v="23 FRANCISCO I. MADERO"/>
    <m/>
    <m/>
    <m/>
    <m/>
    <m/>
    <m/>
    <m/>
    <m/>
    <s v="ZONA PACHUCA"/>
  </r>
  <r>
    <n v="135"/>
    <s v="489"/>
    <x v="3"/>
    <d v="2026-06-09T00:00:00"/>
    <s v="SEDECO/CGI/TI/0720/2026_x000a_SDPEE/DGAP/3675/2026"/>
    <s v="AEEH-2*1S.1/01-2026_x000a_ASESORIAS EN MATERIA ENERGÉTICA (VARIOS MUNICIPIOS)"/>
    <s v="ATENDER A CLEMENTE COPCA ROJAS DEL CENTRO VACACIONAL AJACUBA, QUIEN SOLICITA LAMPARAS PARA CALLES PRINCIPALES DE SU MUNICIPIO."/>
    <s v="ING. FRANCISCO"/>
    <s v="ALTO"/>
    <d v="2026-06-09T00:00:00"/>
    <x v="0"/>
    <s v="SDE-UC-00933-26"/>
    <s v="AEEH/DG/561/2026, DE FECHA 22/06/2026, ENVIADO AL ING. OCTAVIO GÓMEZ PAULIN, COORDINADOR DE GESTIÓN INSTITUCIONAL "/>
    <x v="2"/>
    <s v="N/A"/>
    <s v="N/A"/>
    <s v="N/A"/>
    <m/>
    <m/>
    <m/>
    <m/>
    <s v="CIUDADANO (A)"/>
    <x v="0"/>
    <x v="1"/>
    <s v="5 AJACUBA"/>
    <m/>
    <m/>
    <m/>
    <m/>
    <m/>
    <m/>
    <m/>
    <m/>
    <s v="ZONA PACHUCA"/>
  </r>
  <r>
    <n v="136"/>
    <s v="485"/>
    <x v="3"/>
    <d v="2026-06-09T00:00:00"/>
    <s v="SEDECO/CGI/TI/0721/2026_x000a_SDPEE/DGAP/3686/2026"/>
    <s v="AEEH-2*1S.1/01-2026_x000a_ASESORIAS EN MATERIA ENERGÉTICA (VARIOS MUNICIPIOS)"/>
    <s v="ATENDER A OFELIA MONROY ORTÍZ, QUIEN SOLICITA POSTE DE LUZ Y ALUMBRADO PÚBLICO EN CALLES DE SU LOCALIDAD"/>
    <s v="ING. FRANCISCO"/>
    <s v="ALTO"/>
    <d v="2026-06-09T00:00:00"/>
    <x v="0"/>
    <s v="SDE-UC-00935-26"/>
    <s v="AEEH/DG/562/2026, DE FECHA 22/06/2026, ENVIADO AL ING. OCTAVIO GÓMEZ PAULIN, COORDINADOR DE GESTIÓN INSTITUCIONAL "/>
    <x v="2"/>
    <s v="N/A"/>
    <s v="N/A"/>
    <s v="N/A"/>
    <m/>
    <m/>
    <m/>
    <m/>
    <s v="CIUDADANO (A)"/>
    <x v="0"/>
    <x v="1"/>
    <s v="5 AJACUBA"/>
    <m/>
    <m/>
    <m/>
    <m/>
    <m/>
    <m/>
    <m/>
    <m/>
    <s v="ZONA PACHUCA"/>
  </r>
  <r>
    <n v="137"/>
    <s v="486"/>
    <x v="3"/>
    <d v="2026-06-09T00:00:00"/>
    <s v="SEDECO/CGI/TI/0722/2026_x000a_SDPEE/DGAP/3693/2026"/>
    <s v="AEEH-2*1S.1/01-2026_x000a_ASESORIAS EN MATERIA ENERGÉTICA (VARIOS MUNICIPIOS)"/>
    <s v="ATENDER A MARÍA ELENA MERA AGUILAR, QUIEN SOLICITA LA ELECTRIFICACIÓN EN SU COLONIA "/>
    <s v="ING. FRANCISCO"/>
    <s v="ALTO"/>
    <d v="2026-06-09T00:00:00"/>
    <x v="0"/>
    <s v="SDE-UC-00936-26"/>
    <s v="AEEH/DG/563/2026, DE FECHA 22/06/2026, ENVIADO AL ING. OCTAVIO GÓMEZ PAULIN, COORDINADOR DE GESTIÓN INSTITUCIONAL "/>
    <x v="2"/>
    <s v="N/A"/>
    <s v="N/A"/>
    <s v="N/A"/>
    <s v="3.- ELECTRIFICACIÓN"/>
    <m/>
    <m/>
    <m/>
    <s v="CIUDADANO (A)"/>
    <x v="0"/>
    <x v="2"/>
    <s v="5 AJACUBA"/>
    <s v="COL. CUAUHTÉMOC"/>
    <m/>
    <m/>
    <m/>
    <m/>
    <m/>
    <m/>
    <m/>
    <s v="ZONA PACHUCA"/>
  </r>
  <r>
    <n v="138"/>
    <s v="487"/>
    <x v="3"/>
    <d v="2026-06-09T00:00:00"/>
    <s v="SEDECO/CGI/TI/0723/2026_x000a_SDPEE/DGAP/3734/2026"/>
    <s v="AEEH-2*1S.1/01-2026_x000a_ASESORIAS EN MATERIA ENERGÉTICA (VARIOS MUNICIPIOS)"/>
    <s v="ATENDER A ZAIRA MAGALLI VIDAL MARTINEZ, QUIEN SOLICITA INSTALACIÓN, REHABILITACIÓN Y MANTENIMIENTO DEL ALUMBRADO PÚBLICO DE SU LOCALIDAD"/>
    <s v="ING. FRANCISCO"/>
    <s v="ALTO"/>
    <d v="2026-06-09T00:00:00"/>
    <x v="0"/>
    <s v="SDE-UC-00943-26"/>
    <s v="AEEH/DG/564/2026, DE FECHA 22/06/2026, ENVIADO AL ING. OCTAVIO GÓMEZ PAULIN, COORDINADOR DE GESTIÓN INSTITUCIONAL "/>
    <x v="2"/>
    <s v="N/A"/>
    <s v="N/A"/>
    <s v="N/A"/>
    <s v="2.- ALUMBRADO PÚBLICO"/>
    <m/>
    <m/>
    <m/>
    <s v="CIUDADANO (A)"/>
    <x v="0"/>
    <x v="1"/>
    <s v="5 AJACUBA"/>
    <m/>
    <m/>
    <m/>
    <m/>
    <m/>
    <m/>
    <m/>
    <m/>
    <s v="ZONA PACHUCA"/>
  </r>
  <r>
    <n v="139"/>
    <s v="488"/>
    <x v="3"/>
    <d v="2026-06-09T00:00:00"/>
    <s v="SEDECO/CGI/TI/0724/2026_x000a_SDPEE/DGAP/3755/2026"/>
    <s v="AEEH-2*1S.1/01-2026_x000a_ASESORIAS EN MATERIA ENERGÉTICA (VARIOS MUNICIPIOS)"/>
    <s v="ATENDER A CASIMIRO MARTÍN SAN JUAN, QUIEN SOLICITA APOYO PARA LA AMPLIACIÓN DE RED ELECTRICA EN 5 KM DE LAS CALLES DE SU LOCALIDAD."/>
    <s v="ING. FRANCISCO"/>
    <s v="ALTO"/>
    <d v="2026-06-09T00:00:00"/>
    <x v="0"/>
    <s v="SDE-UC-00942-26"/>
    <s v="AEEH/DG/565/2026, DE FECHA 22/06/2026, ENVIADO AL ING. OCTAVIO GÓMEZ PAULIN, COORDINADOR DE GESTIÓN INSTITUCIONAL "/>
    <x v="2"/>
    <s v="N/A"/>
    <s v="N/A"/>
    <s v="N/A"/>
    <m/>
    <m/>
    <m/>
    <m/>
    <s v="CIUDADANO (A)"/>
    <x v="0"/>
    <x v="2"/>
    <s v="19 CHILCUAUTLA"/>
    <m/>
    <m/>
    <m/>
    <m/>
    <m/>
    <m/>
    <m/>
    <m/>
    <s v="ZONA TULA"/>
  </r>
  <r>
    <n v="140"/>
    <s v="496"/>
    <x v="3"/>
    <d v="2026-06-15T00:00:00"/>
    <s v="SEDECO/CGI/TI/0742/2026_x000a_SDPEE/DGAP/3865/2026"/>
    <s v="AEEH-2*1S.1/01-2026_x000a_ASESORIAS EN MATERIA ENERGÉTICA (VARIOS MUNICIPIOS)"/>
    <s v="ATENDER A LA C. CRISTINA DOMINGUEZ FRAGOSO, QUIEN SOLICITA LA INSTALACIÓN DE UN NUEVO TRANSFORMADOR   "/>
    <s v="ING. FRANCISCO"/>
    <s v="ALTO"/>
    <d v="2026-06-15T00:00:00"/>
    <x v="0"/>
    <s v="SDE-UC-00983-26"/>
    <s v="AEEH/DG/572/2026, DE FECHA 23/06/2026, ENVIADO AL ING. OCTAVIO GÓMEZ PAULIN, COORDINADOR DE GESTIÓN INSTITUCIONAL "/>
    <x v="2"/>
    <s v="N/A"/>
    <s v="N/A"/>
    <s v="N/A"/>
    <m/>
    <m/>
    <m/>
    <m/>
    <s v="CIUDADANO (A)"/>
    <x v="0"/>
    <x v="0"/>
    <s v="65 TETEPANGO"/>
    <s v="COL. ROJO GÓMEZ "/>
    <s v="FEMENINO "/>
    <s v="771 227 8847"/>
    <m/>
    <n v="1"/>
    <m/>
    <m/>
    <s v="CENTRO ORIENTE"/>
    <s v="ZONA TULA"/>
  </r>
  <r>
    <n v="141"/>
    <s v="531"/>
    <x v="3"/>
    <d v="2026-06-26T00:00:00"/>
    <s v="SEDECO/CGI/TI/0815/2026_x000a_SDPEE/DGAP/4440/2026"/>
    <s v="AEEH-2*1S.1/01-2026_x000a_ASESORIAS EN MATERIA ENERGÉTICA (VARIOS MUNICIPIOS)"/>
    <s v="ATENDER A ALEJADRO BAUTISTA PÉREZ, QUIEN SOLICITA ALUMBRADO PÚBLICO PARA SU COMUNIDAD "/>
    <s v="ING. SANDRA"/>
    <s v="ALTO"/>
    <d v="2026-06-26T00:00:00"/>
    <x v="0"/>
    <s v="SDE-UC-01105-26"/>
    <s v="AEEH/DG/589/2026, DE FECHA 03/07/2026, ENVIADO AL ING. OCTAVIO GOMEZ PAULIN, COORDINADOR DE GESTIÓN INSTITUCIONAL _x000a_AEEH/DG/642/2026, DE FECHA 08/07/2026, ENVIADO AL ING. OCTAVIO GOMEZ PAULIN, COORDINADOR DE GESTIÓN INSTITUCIONAL "/>
    <x v="2"/>
    <s v="N/A"/>
    <s v="N/A"/>
    <s v="N/A"/>
    <s v="SI"/>
    <s v="AEEH/DG/643/2026, DE FECHA 08/07/2026, ENVIADO A LA LD. IMELDA CUELLAR CANO, PRESIDENTA MUNICIPAL DE ACTOPAN  "/>
    <m/>
    <m/>
    <s v="DELEGADO (A) MUNICIPAL "/>
    <x v="0"/>
    <x v="1"/>
    <s v="3 ACTOPAN"/>
    <s v="SAUCILLO "/>
    <s v="MASCULINO "/>
    <n v="6251011885"/>
    <m/>
    <n v="1"/>
    <m/>
    <m/>
    <s v="CENTRO ORIENTE"/>
    <s v="ZONA PACHUCA"/>
  </r>
  <r>
    <n v="142"/>
    <s v="540"/>
    <x v="6"/>
    <d v="2026-07-02T00:00:00"/>
    <s v="SEDECO/CGI/TI/0828/2026_x000a_SDPEE/DGAP/4527/2026"/>
    <s v="SANDY "/>
    <s v="ATENDER A MIGUEL ÁNGEL GONZALEZ MENDIOLA, DEL COMITÉ DE LA ROCA DE ORO, QUIEN SOLICITA INTERVENCIÓN CON CFE YA QUE POR TRABAJOS DE TELMEX, SE QUEDARON SIN ENERGÍA ELECTRICA "/>
    <s v="ING. SANDRA"/>
    <s v="ALTO"/>
    <d v="2026-07-02T00:00:00"/>
    <x v="0"/>
    <s v="SDE-UC-01150-26"/>
    <s v="AEEH/DG/624/2026, DE FECHA 06/07/2026, ENVIADO AL ING. OCTAVIO GOMEZ PAULIN, COORDINADOR DE GESTIÓN INSTITUCIONAL "/>
    <x v="2"/>
    <s v="N/A"/>
    <s v="N/A"/>
    <s v="N/A"/>
    <m/>
    <m/>
    <m/>
    <m/>
    <s v="CIUDADANO (A)"/>
    <x v="0"/>
    <x v="3"/>
    <s v="48 PACHUCA DE SOTO"/>
    <s v="ROCA DE ORO "/>
    <s v="MASCULINO "/>
    <s v="771 216 9457"/>
    <m/>
    <n v="1"/>
    <n v="1"/>
    <n v="1"/>
    <s v="CENTRO ORIENTE"/>
    <s v="ZONA PACHUCA"/>
  </r>
  <r>
    <n v="143"/>
    <s v="532"/>
    <x v="3"/>
    <d v="2026-06-26T00:00:00"/>
    <s v="SEDECO/CGI/TI/0810/2026_x000a_SDPEE/DGAP/4406/2026"/>
    <s v="AEEH-2*1S.1/01-2026_x000a_ASESORIAS EN MATERIA ENERGÉTICA (VARIOS MUNICIPIOS)"/>
    <s v="ATENDER A SEVERO VALENCIA LÓPEZ, QUIEN SOLICITA LA AMPLIACIÓN DE LUZ ELECTRICA (5 POSTES), DE LA ANTIGUA VIA DEL TREN A LA PLAZA DE TOROS JAGUEY BLANCO."/>
    <s v="ARQ. DIEGO _x000a_ING. SANDRA"/>
    <s v="ALTO"/>
    <d v="2026-06-26T00:00:00"/>
    <x v="0"/>
    <s v="SDE-UC-01106-26"/>
    <s v="AEEH/DG/656/2026, DE FECHA 13/07/2026, ENVIADO AL ING. OCTAVIO GOMEZ PAULIN, COORDINADOR DE GESTIÓN INSTITUCIONAL _x000a_AEEH/DG/0916/2026, DE FECHA 11/09/2026, ENVIADO AL ING. OCTAVIO GOMEZ PAULIN, COORDINADOR DE GESTIÓN INSTITUCIONAL "/>
    <x v="0"/>
    <s v="AEEH/DG/0840/2026 DE FECHA 19/08/2026, ENVIADO AL ING. RAFAEL NAVARRO PÉREZ, SUPERINTENDENTE DE CFE ZONA PACHUCA "/>
    <s v="SI"/>
    <s v="CFE/DIS/COR/DELEC-0504/2026"/>
    <m/>
    <m/>
    <m/>
    <m/>
    <s v="DELEGADO (A) MUNICIPAL "/>
    <x v="0"/>
    <x v="2"/>
    <s v="9 EL ARENAL"/>
    <s v="BARRIO LA CAPILLA"/>
    <s v="MASCULINO "/>
    <s v="772 189 8523"/>
    <m/>
    <n v="1"/>
    <m/>
    <m/>
    <s v="CENTRO ORIENTE"/>
    <s v="ZONA PACHUCA"/>
  </r>
  <r>
    <n v="144"/>
    <s v="549"/>
    <x v="6"/>
    <d v="2026-07-03T00:00:00"/>
    <s v="SEDECO/CGI/TI/0838/2026_x000a_SDPEE/DGAP/4543/2026"/>
    <s v="DIEGO "/>
    <s v="ATENDER A MARIA LUISA ENGRACIA ISLAS ISLAS DIRECTORA DEL CENTRO DE ATENCIÓN MÚLTIPLE NO. 28, SOLICITA LA INTERVENCIÓN CON CFE PARA LA COLOCACIÓN DE UN POSTE DE ENERGÍA EN SU COLONIA. "/>
    <s v="ARQ. DIEGO"/>
    <s v="ALTO"/>
    <d v="2026-07-03T00:00:00"/>
    <x v="0"/>
    <s v="SDE-UC-01170-26"/>
    <s v="AEEH/DG/657/2026, DE FECHA 13/07/2026, ENVIADO AL ING. OCTAVIO GOMEZ PAULIN, COORDINADOR DE GESTIÓN INSTITUCIONAL._x000a_AEEH/DG/0842/2026, DE FECHA 19/08/2026, ENVIADO AL ING. OCTAVIO GOMEZ PAULIN, COORDINADOR DE GESTIÓN INSTITUCIONAL. "/>
    <x v="0"/>
    <s v="AEEH/DG/659/2026, DE FECHA 13/07/2026, ENVIADO AL ING. GILBERTO LEÓN ORDAZ, SUPERINTENDENTE EF - ZONA TULANCINGO "/>
    <s v="SI"/>
    <s v="GLO-420-2026"/>
    <m/>
    <m/>
    <m/>
    <m/>
    <s v="CIUDADANO (A)"/>
    <x v="0"/>
    <x v="3"/>
    <s v="7 ALMOLOYA"/>
    <s v="COL. MARTÍNEZ"/>
    <s v="FEMENINO "/>
    <s v="775 111 7830"/>
    <m/>
    <n v="1"/>
    <m/>
    <m/>
    <s v="CENTRO ORIENTE"/>
    <s v="ZONA TULANCINGO"/>
  </r>
  <r>
    <n v="145"/>
    <s v="452"/>
    <x v="3"/>
    <d v="2026-05-28T00:00:00"/>
    <s v="SEDECO/CGI/TI/0676/2026_x000a_SDPEE/DGAP/3399/2026"/>
    <s v="AEEH-2*1S.1/01-2026_x000a_ASESORIAS EN MATERIA ENERGÉTICA (VARIOS MUNICIPIOS)"/>
    <s v="ATENDER A FÉLIX LÓPEZ AGUILAR, PRESIDENTE DEL COMITÉ EJIDAL &quot;LOS PAREJES ARCINA&quot;, SOLICITA MESA DE TRABAJO POR INVASIÓN DE PARCELAS EJIDALES POR INFRAESTRUCTURA DE CFE. "/>
    <s v="ARQ. DIEGO"/>
    <s v="ALTO"/>
    <d v="2026-06-26T00:00:00"/>
    <x v="0"/>
    <s v="SDE-UC-00858-26"/>
    <s v="AEEH/DG/658/2026, DE FECHA 13/07/2026, ENVIADO AL ING. OCTAVIO GOMEZ PAULIN, COORDINADOR DE GESTIÓN INSTITUCIONAL "/>
    <x v="0"/>
    <s v="AEEH/DG/0841/2026, DE FECHA 19/08/2026, ENVIADO AL ING. BERNARDO GRANDE HERNÁNDEZ, SUPERINTENDENTE GENERAL DE LA ZONA DE DISTRIBUCIÓN TULA "/>
    <s v="N/A"/>
    <s v="N/A"/>
    <m/>
    <m/>
    <m/>
    <m/>
    <s v="CIUDADANO (A)"/>
    <x v="0"/>
    <x v="8"/>
    <s v="67 TEZONTEPEC DE ALDAMA"/>
    <m/>
    <s v="MASCULINO "/>
    <m/>
    <m/>
    <n v="1"/>
    <m/>
    <m/>
    <s v="CENTRO ORIENTE"/>
    <s v="ZONA TULA"/>
  </r>
  <r>
    <n v="146"/>
    <s v="454"/>
    <x v="6"/>
    <d v="2026-07-27T00:00:00"/>
    <s v="SEDECO/CGI/TI/0679/2026_x000a_SDPEE/DGAP/3429/2026"/>
    <m/>
    <s v="ATENDER A SALVADOR HERNÁNDEZ DE LA CRUZ, QUIEN SOLICITA APOYO ECONOMICO PARA SUBSANAR LA DEUDA QUE EL SISTEMA DE AGUA POTABLE DE LA COMUNIDAD MANTIENE CON CFE (PERIODO 2017-2022) "/>
    <s v="ARQ. ORLANDO_x000a_ARQ. DIEGO"/>
    <s v="ALTO"/>
    <d v="2026-07-27T00:00:00"/>
    <x v="0"/>
    <s v="SDE-UC-00861-26"/>
    <s v="AEEH/DG/705/2026, DE FECHA 28/07/2026, ENVIADO AL ING. OCTAVIO GOMEZ PAULIN, COORDINADOR DE GESTIÓN INSTITUCIONAL "/>
    <x v="2"/>
    <s v="N/A"/>
    <s v="N/A"/>
    <s v="N/A"/>
    <s v="N/A"/>
    <s v="N/A"/>
    <s v="N/A"/>
    <s v="N/A"/>
    <s v="CIUDADANO (A)"/>
    <x v="0"/>
    <x v="6"/>
    <s v="74 TLAXCOAPAN"/>
    <s v="DOXEY"/>
    <s v="MASCULINO "/>
    <m/>
    <m/>
    <n v="1"/>
    <m/>
    <m/>
    <s v="CENTRO ORIENTE"/>
    <s v="ZONA TULA"/>
  </r>
  <r>
    <n v="147"/>
    <s v="456"/>
    <x v="6"/>
    <d v="2026-07-27T00:00:00"/>
    <s v="SEDECO/CGI/TI/0681/2026_x000a_SDPEE/DGAP/3464/2026"/>
    <m/>
    <s v="ATENDER A PRISCILIANO MONTES HERNÁNDEZ QUIEN SOLICITA LA INTERVENCIÓN CON CFE PARA LA DEUDA QUE MANTIENE EL SISTEMA DE AGUA POTABLE DE LA COMUNIDAD CON CFE"/>
    <s v="ARQ. ORLANDO_x000a_ARQ. DIEGO"/>
    <s v="ALTO"/>
    <d v="2026-07-27T00:00:00"/>
    <x v="0"/>
    <s v="SDE-UC-00862-26"/>
    <s v="AEEH/DG/706/2026, DE FECHA 28/07/2026, ENVIADO AL ING. OCTAVIO GOMEZ PAULIN, COORDINADOR DE GESTIÓN INSTITUCIONAL "/>
    <x v="2"/>
    <s v="N/A"/>
    <s v="N/A"/>
    <s v="N/A"/>
    <s v="N/A"/>
    <s v="N/A"/>
    <s v="N/A"/>
    <s v="N/A"/>
    <s v="CIUDADANO (A)"/>
    <x v="0"/>
    <x v="6"/>
    <s v="74 TLAXCOAPAN"/>
    <s v="DOXEY"/>
    <s v="MASCULINO "/>
    <m/>
    <m/>
    <n v="1"/>
    <m/>
    <m/>
    <s v="CENTRO ORIENTE"/>
    <s v="ZONA TULA"/>
  </r>
  <r>
    <n v="148"/>
    <s v="602"/>
    <x v="6"/>
    <d v="2026-07-24T00:00:00"/>
    <s v="SEDECO/CGI/TI/0902/2026_x000a_SDPEE/DGAP/4876/2026"/>
    <m/>
    <s v="ATENDER A MARÍA MATILDE GUERRERO, QUIEN SOLICITA QUE SU VIVIENDA TENGA ACCESO A LA ENERGIA ELECTRICA (EENRGÍA QUE TRANSFORMA)"/>
    <s v="ING. SANDRA"/>
    <s v="ALTO"/>
    <d v="2026-07-24T00:00:00"/>
    <x v="0"/>
    <s v="SDE-UC-01312-26"/>
    <s v="AEEH/DG/735/2026, DE FECHA 04/08/2026, ENVIADO AL ING. OCTAVIO GÓMEZ PAULIN, COORDINADOR DE GESTIÓN INSTITUCIONAL  "/>
    <x v="2"/>
    <s v="N/A"/>
    <s v="N/A"/>
    <s v="N/A"/>
    <m/>
    <m/>
    <m/>
    <m/>
    <s v="CIUDADANO (A)"/>
    <x v="0"/>
    <x v="2"/>
    <s v="16 CUAUTEPEC DE HINOJOSA"/>
    <m/>
    <s v="MASCULINO "/>
    <m/>
    <m/>
    <n v="1"/>
    <m/>
    <m/>
    <s v="CENTRO ORIENTE"/>
    <s v="ZONA TULANCINGO"/>
  </r>
  <r>
    <n v="149"/>
    <s v="605"/>
    <x v="6"/>
    <d v="2026-07-24T00:00:00"/>
    <s v="SEDECO/CGI/TI/0915/2026_x000a_SDPEE/DGAP/4985/2026"/>
    <m/>
    <s v="ATENDER A VÍCTOR ANASTACIO GONZÁLEZ QUIEN SOLICITA APOYO CON 100 METROS DE CABLE  PARA LA BAJADA DE LUZ EN LA IGLESIA DE SU COMUNIDAD. "/>
    <s v="ING. SANDRA"/>
    <s v="ALTO"/>
    <d v="2026-07-24T00:00:00"/>
    <x v="0"/>
    <s v="SDE-UC-01359-26"/>
    <s v="AEEH/DG/736/2026, DE FECHA 06/08/2026, ENVIADO AL ING. OCTAVIO GÓMEZ PAULIN, COORDINADOR DE GESTIÓN INSTITUCIONAL  "/>
    <x v="2"/>
    <s v="N/A"/>
    <s v="N/A"/>
    <s v="N/A"/>
    <m/>
    <m/>
    <m/>
    <m/>
    <s v="CIUDADANO (A)"/>
    <x v="0"/>
    <x v="3"/>
    <s v="57 SINGUILUCAN"/>
    <m/>
    <s v="MASCULINO "/>
    <m/>
    <m/>
    <n v="1"/>
    <m/>
    <m/>
    <s v="CENTRO ORIENTE"/>
    <s v="ZONA TULANCINGO"/>
  </r>
  <r>
    <n v="150"/>
    <s v="596"/>
    <x v="6"/>
    <d v="2026-07-24T00:00:00"/>
    <s v="SEDECO/CGI/TI/0897/2026_x000a_SDPEE/DGAP/4865/2026"/>
    <m/>
    <s v="ATENDER A MARCOS RIVERAS HERNÁNDEZ, QUIEN SOLICITA APOYO PARA QUE SU VIVIENDA PUEDA CONTAR CON EL SERVICIO DE ENERGÍA ELECTRICA (ENERGÍA QUE TRANSFORMA)"/>
    <s v="ING. SANDRA"/>
    <s v="ALTO"/>
    <d v="2026-07-24T00:00:00"/>
    <x v="0"/>
    <s v="SDE-UC-01308-26"/>
    <s v="AEEH/DG/737/2026, DE FECHA 06/08/2026, ENVIADO AL ING. OCTAVIO GÓMEZ PAULIN, COORDINADOR DE GESTIÓN INSTITUCIONAL  "/>
    <x v="0"/>
    <s v="AEEH/DG/0808/2026, DE FECHA 14/08/2026, ENVIADO AL ING. PAULINO GARCÍA MONTESINOS, SUPERINTENDENTE GENERAL E.F. DE LA COMISIÓN FEDERAL DE LECTRICIDAD ZONA TULANCINGO "/>
    <s v="N/A"/>
    <s v="N/A"/>
    <m/>
    <m/>
    <m/>
    <m/>
    <s v="CIUDADANO (A)"/>
    <x v="0"/>
    <x v="2"/>
    <s v="16 CUAUTEPEC DE HINOJOSA"/>
    <m/>
    <s v="MASCULINO "/>
    <m/>
    <m/>
    <n v="1"/>
    <m/>
    <m/>
    <s v="CENTRO ORIENTE"/>
    <s v="ZONA TULANCINGO"/>
  </r>
  <r>
    <n v="151"/>
    <s v="595"/>
    <x v="6"/>
    <d v="2026-07-24T00:00:00"/>
    <s v="SEDECO/CGI/TI/0896/2026_x000a_SDPEE/DGAP/4864/2026"/>
    <m/>
    <s v="ATENDER A JOSÉ YOHAN HERNÁNDEZ ORTEGA, QUIEN SOLICITA APOYO PARA INGRESAR EN EL PROGRAMA ENERGÍA QUE TRANSFORMA  "/>
    <s v="ING. SANDRA"/>
    <s v="ALTO"/>
    <d v="2026-07-24T00:00:00"/>
    <x v="0"/>
    <s v="SDE-UC-01307-26"/>
    <s v="AEEH/DG/738/2026, DE FECHA 06/08/2026, ENVIADO AL ING. OCTAVIO GÓMEZ PAULIN, COORDINADOR DE GESTIÓN INSTITUCIONAL  "/>
    <x v="0"/>
    <s v="AEEH/DG/0808/2026, DE FECHA 14/08/2026, ENVIADO AL ING. PAULINO GARCÍA MONTESINOS, SUPERINTENDENTE GENERAL E.F. DE LA COMISIÓN FEDERAL DE LECTRICIDAD ZONA TULANCINGO "/>
    <s v="N/A"/>
    <s v="N/A"/>
    <m/>
    <m/>
    <m/>
    <m/>
    <s v="CIUDADANO (A)"/>
    <x v="0"/>
    <x v="2"/>
    <s v="16 CUAUTEPEC DE HINOJOSA"/>
    <m/>
    <s v="MASCULINO "/>
    <m/>
    <m/>
    <n v="1"/>
    <m/>
    <m/>
    <s v="CENTRO ORIENTE"/>
    <s v="ZONA TULANCING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Tabla dinámica7"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chartFormat="1">
  <location ref="W23:X38" firstHeaderRow="1" firstDataRow="1" firstDataCol="1"/>
  <pivotFields count="18">
    <pivotField showAll="0"/>
    <pivotField showAll="0"/>
    <pivotField showAll="0"/>
    <pivotField showAll="0"/>
    <pivotField showAll="0"/>
    <pivotField showAll="0"/>
    <pivotField showAll="0"/>
    <pivotField showAll="0"/>
    <pivotField numFmtId="14" showAll="0"/>
    <pivotField showAll="0"/>
    <pivotField showAll="0"/>
    <pivotField name="ATEN." axis="axisRow" showAll="0">
      <items count="3">
        <item h="1" x="0"/>
        <item x="1"/>
        <item t="default"/>
      </items>
    </pivotField>
    <pivotField axis="axisRow" dataField="1" showAll="0">
      <items count="17">
        <item x="3"/>
        <item x="13"/>
        <item x="1"/>
        <item x="10"/>
        <item x="9"/>
        <item x="2"/>
        <item x="0"/>
        <item x="14"/>
        <item x="5"/>
        <item x="11"/>
        <item x="15"/>
        <item x="4"/>
        <item x="7"/>
        <item x="8"/>
        <item x="6"/>
        <item x="12"/>
        <item t="default"/>
      </items>
    </pivotField>
    <pivotField showAll="0"/>
    <pivotField showAll="0"/>
    <pivotField showAll="0"/>
    <pivotField showAll="0"/>
    <pivotField showAll="0"/>
  </pivotFields>
  <rowFields count="2">
    <field x="11"/>
    <field x="12"/>
  </rowFields>
  <rowItems count="15">
    <i>
      <x v="1"/>
    </i>
    <i r="1">
      <x/>
    </i>
    <i r="1">
      <x v="1"/>
    </i>
    <i r="1">
      <x v="2"/>
    </i>
    <i r="1">
      <x v="3"/>
    </i>
    <i r="1">
      <x v="4"/>
    </i>
    <i r="1">
      <x v="5"/>
    </i>
    <i r="1">
      <x v="8"/>
    </i>
    <i r="1">
      <x v="9"/>
    </i>
    <i r="1">
      <x v="11"/>
    </i>
    <i r="1">
      <x v="12"/>
    </i>
    <i r="1">
      <x v="13"/>
    </i>
    <i r="1">
      <x v="14"/>
    </i>
    <i r="1">
      <x v="15"/>
    </i>
    <i t="grand">
      <x/>
    </i>
  </rowItems>
  <colItems count="1">
    <i/>
  </colItems>
  <dataFields count="1">
    <dataField name="Cuenta de TIPO DE SOLICITUD"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ablaDinámica3" cacheId="9" applyNumberFormats="0" applyBorderFormats="0" applyFontFormats="0" applyPatternFormats="0" applyAlignmentFormats="0" applyWidthHeightFormats="1" dataCaption="Valores" updatedVersion="5" minRefreshableVersion="3" useAutoFormatting="1" itemPrintTitles="1" createdVersion="8" indent="0" outline="1" outlineData="1" multipleFieldFilters="0" fieldListSortAscending="1">
  <location ref="R34:R37" firstHeaderRow="1" firstDataRow="1" firstDataCol="1" rowPageCount="2" colPageCount="1"/>
  <pivotFields count="34">
    <pivotField showAll="0"/>
    <pivotField showAll="0" defaultSubtotal="0"/>
    <pivotField axis="axisPage" showAll="0">
      <items count="9">
        <item x="5"/>
        <item x="0"/>
        <item x="1"/>
        <item x="2"/>
        <item x="4"/>
        <item x="3"/>
        <item x="6"/>
        <item x="7"/>
        <item t="default"/>
      </items>
    </pivotField>
    <pivotField numFmtId="14" showAll="0"/>
    <pivotField showAll="0"/>
    <pivotField showAll="0"/>
    <pivotField showAll="0"/>
    <pivotField showAll="0"/>
    <pivotField showAll="0"/>
    <pivotField numFmtId="14" showAll="0"/>
    <pivotField showAll="0"/>
    <pivotField showAll="0"/>
    <pivotField showAll="0" defaultSubtotal="0"/>
    <pivotField showAll="0"/>
    <pivotField showAll="0"/>
    <pivotField showAll="0"/>
    <pivotField showAll="0"/>
    <pivotField showAll="0"/>
    <pivotField showAll="0"/>
    <pivotField showAll="0"/>
    <pivotField showAll="0" defaultSubtotal="0"/>
    <pivotField showAll="0"/>
    <pivotField axis="axisPage" multipleItemSelectionAllowed="1" showAll="0">
      <items count="6">
        <item h="1" x="0"/>
        <item x="1"/>
        <item h="1" x="3"/>
        <item h="1" m="1" x="4"/>
        <item h="1" x="2"/>
        <item t="default"/>
      </items>
    </pivotField>
    <pivotField axis="axisRow" showAll="0">
      <items count="20">
        <item x="6"/>
        <item m="1" x="15"/>
        <item m="1" x="16"/>
        <item x="1"/>
        <item m="1" x="14"/>
        <item m="1" x="17"/>
        <item m="1" x="12"/>
        <item m="1" x="13"/>
        <item m="1" x="18"/>
        <item m="1" x="11"/>
        <item x="4"/>
        <item x="3"/>
        <item x="2"/>
        <item x="8"/>
        <item x="9"/>
        <item x="0"/>
        <item x="5"/>
        <item m="1" x="10"/>
        <item x="7"/>
        <item t="default"/>
      </items>
    </pivotField>
    <pivotField showAll="0"/>
    <pivotField showAll="0"/>
    <pivotField showAll="0"/>
    <pivotField showAll="0"/>
    <pivotField showAll="0"/>
    <pivotField showAll="0"/>
    <pivotField showAll="0" defaultSubtotal="0"/>
    <pivotField showAll="0"/>
    <pivotField showAll="0"/>
    <pivotField showAll="0"/>
  </pivotFields>
  <rowFields count="1">
    <field x="23"/>
  </rowFields>
  <rowItems count="3">
    <i>
      <x v="3"/>
    </i>
    <i>
      <x v="10"/>
    </i>
    <i t="grand">
      <x/>
    </i>
  </rowItems>
  <colItems count="1">
    <i/>
  </colItems>
  <pageFields count="2">
    <pageField fld="22" hier="-1"/>
    <pageField fld="2" hier="-1"/>
  </pageFields>
  <formats count="2">
    <format dxfId="5">
      <pivotArea dataOnly="0" labelOnly="1" fieldPosition="0">
        <references count="1">
          <reference field="23" count="1">
            <x v="8"/>
          </reference>
        </references>
      </pivotArea>
    </format>
    <format dxfId="4">
      <pivotArea dataOnly="0" labelOnly="1" fieldPosition="0">
        <references count="1">
          <reference field="23"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Tabla dinámica3" cacheId="1"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B19:AF27" firstHeaderRow="1" firstDataRow="2" firstDataCol="1"/>
  <pivotFields count="34">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dataField="1" showAll="0"/>
    <pivotField showAll="0" defaultSubtotal="0"/>
    <pivotField showAll="0"/>
    <pivotField showAll="0"/>
    <pivotField showAll="0"/>
  </pivotFields>
  <rowFields count="1">
    <field x="2"/>
  </rowFields>
  <rowItems count="7">
    <i>
      <x/>
    </i>
    <i>
      <x v="1"/>
    </i>
    <i>
      <x v="2"/>
    </i>
    <i>
      <x v="3"/>
    </i>
    <i>
      <x v="4"/>
    </i>
    <i>
      <x v="5"/>
    </i>
    <i t="grand">
      <x/>
    </i>
  </rowItems>
  <colFields count="1">
    <field x="26"/>
  </colFields>
  <colItems count="4">
    <i>
      <x/>
    </i>
    <i>
      <x v="1"/>
    </i>
    <i>
      <x v="2"/>
    </i>
    <i t="grand">
      <x/>
    </i>
  </colItems>
  <dataFields count="1">
    <dataField name="Suma de Personas Atendidas" fld="29"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abla dinámica2" cacheId="1"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R54:S60" firstHeaderRow="1" firstDataRow="1" firstDataCol="1" rowPageCount="1" colPageCount="1"/>
  <pivotFields count="34">
    <pivotField showAll="0"/>
    <pivotField dataField="1" showAll="0"/>
    <pivotField axis="axisPage"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0"/>
        <item h="1" x="1"/>
        <item x="2"/>
        <item h="1" x="3"/>
        <item t="default"/>
      </items>
    </pivotField>
    <pivotField showAll="0"/>
    <pivotField showAll="0"/>
    <pivotField showAll="0"/>
    <pivotField showAll="0"/>
    <pivotField showAll="0"/>
    <pivotField showAll="0"/>
    <pivotField showAll="0"/>
    <pivotField axis="axisRow" showAll="0">
      <items count="11">
        <item x="7"/>
        <item x="5"/>
        <item x="8"/>
        <item x="3"/>
        <item x="2"/>
        <item x="4"/>
        <item x="6"/>
        <item x="0"/>
        <item x="1"/>
        <item x="9"/>
        <item t="default"/>
      </items>
    </pivotField>
    <pivotField showAll="0"/>
    <pivotField showAll="0"/>
    <pivotField showAll="0"/>
    <pivotField showAll="0"/>
    <pivotField showAll="0"/>
    <pivotField showAll="0"/>
    <pivotField showAll="0" defaultSubtotal="0"/>
    <pivotField showAll="0"/>
    <pivotField showAll="0"/>
    <pivotField showAll="0"/>
  </pivotFields>
  <rowFields count="2">
    <field x="15"/>
    <field x="23"/>
  </rowFields>
  <rowItems count="6">
    <i>
      <x v="2"/>
    </i>
    <i r="1">
      <x/>
    </i>
    <i r="1">
      <x v="4"/>
    </i>
    <i r="1">
      <x v="7"/>
    </i>
    <i r="1">
      <x v="8"/>
    </i>
    <i t="grand">
      <x/>
    </i>
  </rowItems>
  <colItems count="1">
    <i/>
  </colItems>
  <pageFields count="1">
    <pageField fld="2" hier="-1"/>
  </pageFields>
  <dataFields count="1">
    <dataField name="Cuenta de No. DE TURN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ablaDinámica4" cacheId="9" applyNumberFormats="0" applyBorderFormats="0" applyFontFormats="0" applyPatternFormats="0" applyAlignmentFormats="0" applyWidthHeightFormats="1" dataCaption="Valores" updatedVersion="5" minRefreshableVersion="3" itemPrintTitles="1" createdVersion="8" indent="0" outline="1" outlineData="1" multipleFieldFilters="0" fieldListSortAscending="1">
  <location ref="R43:R51" firstHeaderRow="1" firstDataRow="1" firstDataCol="1" rowPageCount="1" colPageCount="1"/>
  <pivotFields count="34">
    <pivotField showAll="0"/>
    <pivotField showAll="0" defaultSubtotal="0"/>
    <pivotField axis="axisPage" showAll="0">
      <items count="9">
        <item x="5"/>
        <item x="0"/>
        <item x="1"/>
        <item x="2"/>
        <item x="4"/>
        <item x="3"/>
        <item x="6"/>
        <item x="7"/>
        <item t="default"/>
      </items>
    </pivotField>
    <pivotField numFmtId="14" showAll="0"/>
    <pivotField showAll="0"/>
    <pivotField showAll="0"/>
    <pivotField showAll="0"/>
    <pivotField showAll="0"/>
    <pivotField showAll="0"/>
    <pivotField numFmtId="14" showAll="0"/>
    <pivotField showAll="0"/>
    <pivotField showAll="0"/>
    <pivotField showAll="0" defaultSubtotal="0"/>
    <pivotField axis="axisRow" showAll="0">
      <items count="4">
        <item h="1" x="2"/>
        <item h="1" x="1"/>
        <item x="0"/>
        <item t="default"/>
      </items>
    </pivotField>
    <pivotField showAll="0"/>
    <pivotField showAll="0"/>
    <pivotField showAll="0"/>
    <pivotField showAll="0"/>
    <pivotField showAll="0"/>
    <pivotField showAll="0"/>
    <pivotField showAll="0" defaultSubtotal="0"/>
    <pivotField showAll="0"/>
    <pivotField multipleItemSelectionAllowed="1" showAll="0"/>
    <pivotField axis="axisRow" showAll="0">
      <items count="20">
        <item x="6"/>
        <item m="1" x="15"/>
        <item m="1" x="16"/>
        <item x="1"/>
        <item m="1" x="14"/>
        <item m="1" x="17"/>
        <item m="1" x="12"/>
        <item m="1" x="13"/>
        <item m="1" x="18"/>
        <item m="1" x="11"/>
        <item x="4"/>
        <item x="3"/>
        <item x="2"/>
        <item x="8"/>
        <item x="9"/>
        <item x="0"/>
        <item x="5"/>
        <item m="1" x="10"/>
        <item x="7"/>
        <item t="default"/>
      </items>
    </pivotField>
    <pivotField showAll="0"/>
    <pivotField showAll="0"/>
    <pivotField showAll="0"/>
    <pivotField showAll="0"/>
    <pivotField showAll="0"/>
    <pivotField showAll="0"/>
    <pivotField showAll="0" defaultSubtotal="0"/>
    <pivotField showAll="0"/>
    <pivotField showAll="0"/>
    <pivotField showAll="0"/>
  </pivotFields>
  <rowFields count="2">
    <field x="13"/>
    <field x="23"/>
  </rowFields>
  <rowItems count="10">
    <i>
      <x v="2"/>
    </i>
    <i r="1">
      <x/>
    </i>
    <i r="1">
      <x v="3"/>
    </i>
    <i r="1">
      <x v="11"/>
    </i>
    <i r="1">
      <x v="12"/>
    </i>
    <i r="1">
      <x v="13"/>
    </i>
    <i r="1">
      <x v="15"/>
    </i>
    <i r="1">
      <x v="16"/>
    </i>
    <i r="1">
      <x v="18"/>
    </i>
    <i t="grand">
      <x/>
    </i>
  </rowItems>
  <colItems count="1">
    <i/>
  </colItems>
  <pageFields count="1">
    <pageField fld="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Tabla dinámica1" cacheId="1"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V67:W71" firstHeaderRow="1" firstDataRow="1" firstDataCol="1" rowPageCount="1" colPageCount="1"/>
  <pivotFields count="34">
    <pivotField showAll="0"/>
    <pivotField dataField="1" showAll="0"/>
    <pivotField axis="axisPage"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7"/>
        <item x="5"/>
        <item x="8"/>
        <item x="3"/>
        <item x="2"/>
        <item x="4"/>
        <item x="6"/>
        <item x="0"/>
        <item x="1"/>
        <item x="9"/>
        <item t="default"/>
      </items>
    </pivotField>
    <pivotField axis="axisRow" showAll="0">
      <items count="39">
        <item h="1" x="12"/>
        <item h="1" x="10"/>
        <item h="1" x="34"/>
        <item h="1" x="17"/>
        <item h="1" x="30"/>
        <item h="1" x="15"/>
        <item h="1" x="22"/>
        <item h="1" x="37"/>
        <item h="1" x="25"/>
        <item h="1" x="14"/>
        <item h="1" x="6"/>
        <item h="1" x="8"/>
        <item h="1" x="31"/>
        <item h="1" x="36"/>
        <item h="1" x="16"/>
        <item h="1" x="18"/>
        <item h="1" x="27"/>
        <item h="1" x="11"/>
        <item h="1" x="2"/>
        <item x="0"/>
        <item h="1" x="1"/>
        <item h="1" x="29"/>
        <item h="1" x="19"/>
        <item h="1" x="35"/>
        <item h="1" x="3"/>
        <item h="1" x="28"/>
        <item h="1" x="23"/>
        <item h="1" x="33"/>
        <item h="1" x="32"/>
        <item h="1" x="26"/>
        <item h="1" x="7"/>
        <item h="1" x="9"/>
        <item h="1" x="24"/>
        <item h="1" x="20"/>
        <item h="1" x="13"/>
        <item h="1" x="4"/>
        <item h="1" x="21"/>
        <item h="1" x="5"/>
        <item t="default"/>
      </items>
    </pivotField>
    <pivotField showAll="0"/>
    <pivotField showAll="0"/>
    <pivotField showAll="0"/>
    <pivotField showAll="0"/>
    <pivotField showAll="0"/>
    <pivotField showAll="0" defaultSubtotal="0"/>
    <pivotField showAll="0"/>
    <pivotField showAll="0"/>
    <pivotField showAll="0"/>
  </pivotFields>
  <rowFields count="2">
    <field x="24"/>
    <field x="23"/>
  </rowFields>
  <rowItems count="4">
    <i>
      <x v="19"/>
    </i>
    <i r="1">
      <x v="2"/>
    </i>
    <i r="1">
      <x v="7"/>
    </i>
    <i t="grand">
      <x/>
    </i>
  </rowItems>
  <colItems count="1">
    <i/>
  </colItems>
  <pageFields count="1">
    <pageField fld="2" hier="-1"/>
  </pageFields>
  <dataFields count="1">
    <dataField name="Cuenta de No. DE TURN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ablaDinámica1" cacheId="9" applyNumberFormats="0" applyBorderFormats="0" applyFontFormats="0" applyPatternFormats="0" applyAlignmentFormats="0" applyWidthHeightFormats="1" dataCaption="Valores" updatedVersion="5" minRefreshableVersion="3" useAutoFormatting="1" itemPrintTitles="1" createdVersion="8" indent="0" outline="1" outlineData="1" multipleFieldFilters="0" fieldListSortAscending="1">
  <location ref="A4:A13" firstHeaderRow="1" firstDataRow="1" firstDataCol="1" rowPageCount="1" colPageCount="1"/>
  <pivotFields count="34">
    <pivotField showAll="0"/>
    <pivotField showAll="0" defaultSubtotal="0"/>
    <pivotField axis="axisPage" showAll="0">
      <items count="9">
        <item x="5"/>
        <item x="0"/>
        <item x="1"/>
        <item x="2"/>
        <item x="4"/>
        <item x="3"/>
        <item x="6"/>
        <item x="7"/>
        <item t="default"/>
      </items>
    </pivotField>
    <pivotField numFmtId="14" showAll="0"/>
    <pivotField showAll="0"/>
    <pivotField showAll="0"/>
    <pivotField showAll="0"/>
    <pivotField showAll="0"/>
    <pivotField showAll="0"/>
    <pivotField numFmtId="14" showAll="0"/>
    <pivotField axis="axisRow" showAll="0">
      <items count="3">
        <item m="1" x="1"/>
        <item x="0"/>
        <item t="default"/>
      </items>
    </pivotField>
    <pivotField showAll="0"/>
    <pivotField showAll="0" defaultSubtotal="0"/>
    <pivotField showAll="0"/>
    <pivotField showAll="0"/>
    <pivotField showAll="0"/>
    <pivotField showAll="0"/>
    <pivotField showAll="0"/>
    <pivotField showAll="0"/>
    <pivotField showAll="0"/>
    <pivotField showAll="0" defaultSubtotal="0"/>
    <pivotField showAll="0"/>
    <pivotField axis="axisRow" showAll="0">
      <items count="6">
        <item x="0"/>
        <item x="1"/>
        <item x="3"/>
        <item m="1" x="4"/>
        <item x="2"/>
        <item t="default"/>
      </items>
    </pivotField>
    <pivotField showAll="0"/>
    <pivotField showAll="0"/>
    <pivotField showAll="0"/>
    <pivotField showAll="0"/>
    <pivotField showAll="0"/>
    <pivotField showAll="0"/>
    <pivotField showAll="0"/>
    <pivotField showAll="0" defaultSubtotal="0"/>
    <pivotField showAll="0"/>
    <pivotField showAll="0"/>
    <pivotField showAll="0"/>
  </pivotFields>
  <rowFields count="2">
    <field x="22"/>
    <field x="10"/>
  </rowFields>
  <rowItems count="9">
    <i>
      <x/>
    </i>
    <i r="1">
      <x v="1"/>
    </i>
    <i>
      <x v="1"/>
    </i>
    <i r="1">
      <x v="1"/>
    </i>
    <i>
      <x v="2"/>
    </i>
    <i r="1">
      <x v="1"/>
    </i>
    <i>
      <x v="4"/>
    </i>
    <i r="1">
      <x v="1"/>
    </i>
    <i t="grand">
      <x/>
    </i>
  </rowItems>
  <colItems count="1">
    <i/>
  </colItems>
  <pageFields count="1">
    <pageField fld="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Tabla dinámica4" cacheId="1"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B45:AF53" firstHeaderRow="1" firstDataRow="2" firstDataCol="1"/>
  <pivotFields count="34">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pivotField showAll="0"/>
  </pivotFields>
  <rowFields count="1">
    <field x="2"/>
  </rowFields>
  <rowItems count="7">
    <i>
      <x/>
    </i>
    <i>
      <x v="1"/>
    </i>
    <i>
      <x v="2"/>
    </i>
    <i>
      <x v="3"/>
    </i>
    <i>
      <x v="4"/>
    </i>
    <i>
      <x v="5"/>
    </i>
    <i t="grand">
      <x/>
    </i>
  </rowItems>
  <colFields count="1">
    <field x="26"/>
  </colFields>
  <colItems count="4">
    <i>
      <x/>
    </i>
    <i>
      <x v="1"/>
    </i>
    <i>
      <x v="2"/>
    </i>
    <i t="grand">
      <x/>
    </i>
  </colItems>
  <dataFields count="1">
    <dataField name="Suma de Beneficiarios Indirectos" fld="31"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ablaDinámica2" cacheId="9" applyNumberFormats="0" applyBorderFormats="0" applyFontFormats="0" applyPatternFormats="0" applyAlignmentFormats="0" applyWidthHeightFormats="1" dataCaption="Valores" updatedVersion="5" minRefreshableVersion="3" useAutoFormatting="1" itemPrintTitles="1" createdVersion="8" indent="0" outline="1" outlineData="1" multipleFieldFilters="0" fieldListSortAscending="1">
  <location ref="R20:R30" firstHeaderRow="1" firstDataRow="1" firstDataCol="1" rowPageCount="2" colPageCount="1"/>
  <pivotFields count="34">
    <pivotField showAll="0"/>
    <pivotField showAll="0" defaultSubtotal="0"/>
    <pivotField axis="axisPage" showAll="0">
      <items count="9">
        <item x="5"/>
        <item x="0"/>
        <item x="1"/>
        <item x="2"/>
        <item x="4"/>
        <item x="3"/>
        <item x="6"/>
        <item x="7"/>
        <item t="default"/>
      </items>
    </pivotField>
    <pivotField numFmtId="14" showAll="0"/>
    <pivotField showAll="0"/>
    <pivotField showAll="0"/>
    <pivotField showAll="0"/>
    <pivotField showAll="0"/>
    <pivotField showAll="0"/>
    <pivotField numFmtId="14" showAll="0"/>
    <pivotField showAll="0"/>
    <pivotField showAll="0"/>
    <pivotField showAll="0" defaultSubtotal="0"/>
    <pivotField showAll="0"/>
    <pivotField showAll="0"/>
    <pivotField showAll="0"/>
    <pivotField showAll="0"/>
    <pivotField showAll="0"/>
    <pivotField showAll="0"/>
    <pivotField showAll="0"/>
    <pivotField showAll="0" defaultSubtotal="0"/>
    <pivotField showAll="0"/>
    <pivotField axis="axisPage" multipleItemSelectionAllowed="1" showAll="0">
      <items count="6">
        <item x="0"/>
        <item h="1" x="1"/>
        <item h="1" x="3"/>
        <item h="1" m="1" x="4"/>
        <item h="1" x="2"/>
        <item t="default"/>
      </items>
    </pivotField>
    <pivotField axis="axisRow" showAll="0">
      <items count="20">
        <item x="6"/>
        <item m="1" x="15"/>
        <item m="1" x="16"/>
        <item x="1"/>
        <item m="1" x="14"/>
        <item m="1" x="17"/>
        <item m="1" x="12"/>
        <item m="1" x="13"/>
        <item m="1" x="18"/>
        <item m="1" x="11"/>
        <item x="4"/>
        <item x="3"/>
        <item x="2"/>
        <item x="8"/>
        <item x="9"/>
        <item x="0"/>
        <item x="5"/>
        <item m="1" x="10"/>
        <item x="7"/>
        <item t="default"/>
      </items>
    </pivotField>
    <pivotField showAll="0"/>
    <pivotField showAll="0"/>
    <pivotField showAll="0"/>
    <pivotField showAll="0"/>
    <pivotField showAll="0"/>
    <pivotField showAll="0"/>
    <pivotField showAll="0" defaultSubtotal="0"/>
    <pivotField showAll="0"/>
    <pivotField showAll="0"/>
    <pivotField showAll="0"/>
  </pivotFields>
  <rowFields count="1">
    <field x="23"/>
  </rowFields>
  <rowItems count="10">
    <i>
      <x/>
    </i>
    <i>
      <x v="3"/>
    </i>
    <i>
      <x v="10"/>
    </i>
    <i>
      <x v="11"/>
    </i>
    <i>
      <x v="12"/>
    </i>
    <i>
      <x v="13"/>
    </i>
    <i>
      <x v="15"/>
    </i>
    <i>
      <x v="16"/>
    </i>
    <i>
      <x v="18"/>
    </i>
    <i t="grand">
      <x/>
    </i>
  </rowItems>
  <colItems count="1">
    <i/>
  </colItems>
  <pageFields count="2">
    <pageField fld="22" hier="-1"/>
    <pageField fld="2" hier="-1"/>
  </pageFields>
  <formats count="2">
    <format dxfId="7">
      <pivotArea dataOnly="0" labelOnly="1" fieldPosition="0">
        <references count="1">
          <reference field="23" count="1">
            <x v="8"/>
          </reference>
        </references>
      </pivotArea>
    </format>
    <format dxfId="6">
      <pivotArea dataOnly="0" labelOnly="1" fieldPosition="0">
        <references count="1">
          <reference field="23"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Personalizado 1">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ecologia.2024.huazalingo@gmail.com" TargetMode="External"/><Relationship Id="rId13" Type="http://schemas.openxmlformats.org/officeDocument/2006/relationships/hyperlink" Target="mailto:compraspublicas@hidalgo.gob.mx" TargetMode="External"/><Relationship Id="rId18" Type="http://schemas.openxmlformats.org/officeDocument/2006/relationships/drawing" Target="../drawings/drawing1.xml"/><Relationship Id="rId3" Type="http://schemas.openxmlformats.org/officeDocument/2006/relationships/hyperlink" Target="mailto:arlenemm@hidalgo.gob.mx" TargetMode="External"/><Relationship Id="rId7" Type="http://schemas.openxmlformats.org/officeDocument/2006/relationships/hyperlink" Target="mailto:miguel.horta@eregional.com.mx" TargetMode="External"/><Relationship Id="rId12" Type="http://schemas.openxmlformats.org/officeDocument/2006/relationships/hyperlink" Target="mailto:dependencias.coemere@hidalgo.gob.mx" TargetMode="External"/><Relationship Id="rId17" Type="http://schemas.openxmlformats.org/officeDocument/2006/relationships/printerSettings" Target="../printerSettings/printerSettings1.bin"/><Relationship Id="rId2" Type="http://schemas.openxmlformats.org/officeDocument/2006/relationships/hyperlink" Target="mailto:hugo.abundis@cfe.mx" TargetMode="External"/><Relationship Id="rId16" Type="http://schemas.openxmlformats.org/officeDocument/2006/relationships/hyperlink" Target="mailto:kzr9e@gmail.com" TargetMode="External"/><Relationship Id="rId1" Type="http://schemas.openxmlformats.org/officeDocument/2006/relationships/hyperlink" Target="mailto:alicia.gutierrez@conuee.gob.mx" TargetMode="External"/><Relationship Id="rId6" Type="http://schemas.openxmlformats.org/officeDocument/2006/relationships/hyperlink" Target="mailto:miguel.horta@eregional.com.mx" TargetMode="External"/><Relationship Id="rId11" Type="http://schemas.openxmlformats.org/officeDocument/2006/relationships/hyperlink" Target="mailto:eripaty73@hotmail.com" TargetMode="External"/><Relationship Id="rId5" Type="http://schemas.openxmlformats.org/officeDocument/2006/relationships/hyperlink" Target="mailto:dependencias.coemere@hidalgo.gob.mx" TargetMode="External"/><Relationship Id="rId15" Type="http://schemas.openxmlformats.org/officeDocument/2006/relationships/hyperlink" Target="mailto:ulises9santiagos@gmail.com" TargetMode="External"/><Relationship Id="rId10" Type="http://schemas.openxmlformats.org/officeDocument/2006/relationships/hyperlink" Target="mailto:octavio.gomez@hidalgo.gob.mx" TargetMode="External"/><Relationship Id="rId4" Type="http://schemas.openxmlformats.org/officeDocument/2006/relationships/hyperlink" Target="mailto:octavio.gomez@hidalgo.gob.mx" TargetMode="External"/><Relationship Id="rId9" Type="http://schemas.openxmlformats.org/officeDocument/2006/relationships/hyperlink" Target="mailto:dependencias.coemere@hidalgo.gob.mx" TargetMode="External"/><Relationship Id="rId14" Type="http://schemas.openxmlformats.org/officeDocument/2006/relationships/hyperlink" Target="mailto:elivago@live.com.mx"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drawing" Target="../drawings/drawing2.xml"/><Relationship Id="rId4" Type="http://schemas.openxmlformats.org/officeDocument/2006/relationships/pivotTable" Target="../pivotTables/pivotTable5.xm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470"/>
  <sheetViews>
    <sheetView tabSelected="1" zoomScale="80" zoomScaleNormal="80" zoomScaleSheetLayoutView="70" workbookViewId="0">
      <pane ySplit="2" topLeftCell="A296" activePane="bottomLeft" state="frozen"/>
      <selection activeCell="H1" sqref="H1"/>
      <selection pane="bottomLeft" activeCell="M296" sqref="M296"/>
    </sheetView>
  </sheetViews>
  <sheetFormatPr baseColWidth="10" defaultRowHeight="12.75" x14ac:dyDescent="0.2"/>
  <cols>
    <col min="1" max="1" width="5.42578125" style="9" customWidth="1"/>
    <col min="2" max="2" width="9" style="9" customWidth="1"/>
    <col min="3" max="3" width="19.85546875" style="18" customWidth="1"/>
    <col min="4" max="4" width="14.140625" style="9" customWidth="1"/>
    <col min="5" max="5" width="20.28515625" style="9" customWidth="1"/>
    <col min="6" max="6" width="24.140625" style="9" customWidth="1"/>
    <col min="7" max="7" width="57.7109375" style="9" customWidth="1"/>
    <col min="8" max="8" width="18.28515625" style="19" customWidth="1"/>
    <col min="9" max="9" width="16.140625" style="19" customWidth="1"/>
    <col min="10" max="10" width="10.42578125" style="9" customWidth="1"/>
    <col min="11" max="11" width="14.7109375" style="9" customWidth="1"/>
    <col min="12" max="12" width="28.7109375" style="9" customWidth="1"/>
    <col min="13" max="13" width="46.7109375" style="9" customWidth="1"/>
    <col min="14" max="14" width="19.7109375" style="9" customWidth="1"/>
    <col min="15" max="15" width="28.7109375" style="9" customWidth="1"/>
    <col min="16" max="16" width="23.140625" style="9" customWidth="1"/>
    <col min="17" max="21" width="28.7109375" style="9" customWidth="1"/>
    <col min="22" max="22" width="20.5703125" style="9" customWidth="1"/>
    <col min="23" max="23" width="17.7109375" style="9" customWidth="1"/>
    <col min="24" max="24" width="20" style="9" customWidth="1"/>
    <col min="25" max="25" width="18" style="9" customWidth="1"/>
    <col min="26" max="28" width="13.5703125" style="9" customWidth="1"/>
    <col min="29" max="30" width="27.140625" style="9" customWidth="1"/>
    <col min="31" max="31" width="17.28515625" style="9" customWidth="1"/>
    <col min="32" max="32" width="14.85546875" style="9" customWidth="1"/>
    <col min="33" max="33" width="18.28515625" style="9" customWidth="1"/>
    <col min="34" max="34" width="20.5703125" style="9" customWidth="1"/>
    <col min="35" max="35" width="26.140625" style="9" customWidth="1"/>
    <col min="36" max="36" width="4.42578125" style="9" customWidth="1"/>
    <col min="37" max="43" width="11.42578125" style="9" customWidth="1"/>
    <col min="44" max="16384" width="11.42578125" style="9"/>
  </cols>
  <sheetData>
    <row r="1" spans="1:35" customFormat="1" ht="60.75" customHeight="1" x14ac:dyDescent="0.2">
      <c r="B1" s="142" t="s">
        <v>1658</v>
      </c>
      <c r="C1" s="142"/>
      <c r="D1" s="142"/>
      <c r="E1" s="142"/>
      <c r="F1" s="142"/>
      <c r="G1" s="142"/>
      <c r="H1" s="142"/>
      <c r="I1" s="142"/>
      <c r="J1" s="142"/>
      <c r="K1" s="142"/>
      <c r="L1" s="142"/>
      <c r="M1" s="142"/>
      <c r="N1" s="142"/>
      <c r="O1" s="142"/>
      <c r="P1" s="142"/>
      <c r="Q1" s="142"/>
      <c r="R1" s="142"/>
      <c r="S1" s="142"/>
      <c r="T1" s="142"/>
      <c r="U1" s="142"/>
      <c r="V1" s="142"/>
      <c r="W1" s="142"/>
      <c r="X1" s="142"/>
      <c r="Y1" s="142"/>
      <c r="Z1" s="142"/>
      <c r="AA1" s="142"/>
      <c r="AB1" s="142"/>
      <c r="AC1" s="142"/>
      <c r="AD1" s="142"/>
      <c r="AE1" s="142"/>
      <c r="AF1" s="142"/>
      <c r="AG1" s="142"/>
      <c r="AH1" s="142"/>
    </row>
    <row r="2" spans="1:35" s="15" customFormat="1" ht="60" x14ac:dyDescent="0.2">
      <c r="A2" s="111" t="s">
        <v>6</v>
      </c>
      <c r="B2" s="78" t="s">
        <v>1784</v>
      </c>
      <c r="C2" s="113" t="s">
        <v>146</v>
      </c>
      <c r="D2" s="112" t="s">
        <v>164</v>
      </c>
      <c r="E2" s="78" t="s">
        <v>147</v>
      </c>
      <c r="F2" s="114" t="s">
        <v>811</v>
      </c>
      <c r="G2" s="78" t="s">
        <v>0</v>
      </c>
      <c r="H2" s="79" t="s">
        <v>1</v>
      </c>
      <c r="I2" s="115" t="s">
        <v>157</v>
      </c>
      <c r="J2" s="79" t="s">
        <v>150</v>
      </c>
      <c r="K2" s="131" t="s">
        <v>169</v>
      </c>
      <c r="L2" s="77" t="s">
        <v>810</v>
      </c>
      <c r="M2" s="114" t="s">
        <v>1124</v>
      </c>
      <c r="N2" s="78" t="s">
        <v>802</v>
      </c>
      <c r="O2" s="78" t="s">
        <v>818</v>
      </c>
      <c r="P2" s="78" t="s">
        <v>803</v>
      </c>
      <c r="Q2" s="78" t="s">
        <v>804</v>
      </c>
      <c r="R2" s="77" t="s">
        <v>807</v>
      </c>
      <c r="S2" s="64" t="s">
        <v>818</v>
      </c>
      <c r="T2" s="64" t="s">
        <v>808</v>
      </c>
      <c r="U2" s="64" t="s">
        <v>1657</v>
      </c>
      <c r="V2" s="64" t="s">
        <v>172</v>
      </c>
      <c r="W2" s="112" t="s">
        <v>600</v>
      </c>
      <c r="X2" s="78" t="s">
        <v>155</v>
      </c>
      <c r="Y2" s="78" t="s">
        <v>181</v>
      </c>
      <c r="Z2" s="79" t="s">
        <v>131</v>
      </c>
      <c r="AA2" s="132" t="s">
        <v>187</v>
      </c>
      <c r="AB2" s="63" t="s">
        <v>190</v>
      </c>
      <c r="AC2" s="63" t="s">
        <v>191</v>
      </c>
      <c r="AD2" s="64" t="s">
        <v>1055</v>
      </c>
      <c r="AE2" s="64" t="s">
        <v>1054</v>
      </c>
      <c r="AF2" s="63" t="s">
        <v>125</v>
      </c>
      <c r="AG2" s="127" t="s">
        <v>130</v>
      </c>
      <c r="AH2" s="78" t="s">
        <v>813</v>
      </c>
      <c r="AI2" s="78" t="s">
        <v>1777</v>
      </c>
    </row>
    <row r="3" spans="1:35" ht="53.25" customHeight="1" x14ac:dyDescent="0.2">
      <c r="A3" s="83">
        <v>1</v>
      </c>
      <c r="B3" s="66" t="s">
        <v>254</v>
      </c>
      <c r="C3" s="67" t="s">
        <v>106</v>
      </c>
      <c r="D3" s="68">
        <v>46070</v>
      </c>
      <c r="E3" s="65" t="s">
        <v>298</v>
      </c>
      <c r="F3" s="36" t="s">
        <v>548</v>
      </c>
      <c r="G3" s="83" t="s">
        <v>299</v>
      </c>
      <c r="H3" s="65" t="s">
        <v>142</v>
      </c>
      <c r="I3" s="65" t="s">
        <v>198</v>
      </c>
      <c r="J3" s="68">
        <v>46071</v>
      </c>
      <c r="K3" s="62" t="s">
        <v>2</v>
      </c>
      <c r="L3" s="65" t="s">
        <v>848</v>
      </c>
      <c r="M3" s="65" t="s">
        <v>849</v>
      </c>
      <c r="N3" s="65" t="s">
        <v>2</v>
      </c>
      <c r="O3" s="65" t="s">
        <v>1875</v>
      </c>
      <c r="P3" s="65" t="s">
        <v>3</v>
      </c>
      <c r="Q3" s="65" t="s">
        <v>196</v>
      </c>
      <c r="R3" s="65" t="s">
        <v>196</v>
      </c>
      <c r="S3" s="65" t="s">
        <v>196</v>
      </c>
      <c r="T3" s="65" t="s">
        <v>196</v>
      </c>
      <c r="U3" s="65" t="s">
        <v>196</v>
      </c>
      <c r="V3" s="65" t="s">
        <v>173</v>
      </c>
      <c r="W3" s="65" t="s">
        <v>599</v>
      </c>
      <c r="X3" s="98" t="s">
        <v>1042</v>
      </c>
      <c r="Y3" s="98" t="s">
        <v>35</v>
      </c>
      <c r="Z3" s="65" t="s">
        <v>255</v>
      </c>
      <c r="AA3" s="65" t="s">
        <v>188</v>
      </c>
      <c r="AB3" s="65">
        <v>7713663097</v>
      </c>
      <c r="AC3" s="65"/>
      <c r="AD3" s="62">
        <v>1</v>
      </c>
      <c r="AE3" s="62">
        <f>AF3/4</f>
        <v>1</v>
      </c>
      <c r="AF3" s="69">
        <v>4</v>
      </c>
      <c r="AG3" s="62" t="s">
        <v>134</v>
      </c>
      <c r="AH3" s="65" t="s">
        <v>840</v>
      </c>
    </row>
    <row r="4" spans="1:35" ht="44.25" customHeight="1" x14ac:dyDescent="0.2">
      <c r="A4" s="83">
        <v>2</v>
      </c>
      <c r="B4" s="66" t="s">
        <v>304</v>
      </c>
      <c r="C4" s="67" t="s">
        <v>106</v>
      </c>
      <c r="D4" s="68">
        <v>46073</v>
      </c>
      <c r="E4" s="65" t="s">
        <v>356</v>
      </c>
      <c r="F4" s="36" t="s">
        <v>548</v>
      </c>
      <c r="G4" s="83" t="s">
        <v>312</v>
      </c>
      <c r="H4" s="65" t="s">
        <v>142</v>
      </c>
      <c r="I4" s="65" t="s">
        <v>198</v>
      </c>
      <c r="J4" s="68">
        <v>46078</v>
      </c>
      <c r="K4" s="62" t="s">
        <v>2</v>
      </c>
      <c r="L4" s="65" t="s">
        <v>854</v>
      </c>
      <c r="M4" s="65" t="s">
        <v>855</v>
      </c>
      <c r="N4" s="65" t="s">
        <v>3</v>
      </c>
      <c r="O4" s="65" t="s">
        <v>196</v>
      </c>
      <c r="P4" s="65" t="s">
        <v>196</v>
      </c>
      <c r="Q4" s="65" t="s">
        <v>196</v>
      </c>
      <c r="R4" s="65" t="s">
        <v>196</v>
      </c>
      <c r="S4" s="65" t="s">
        <v>196</v>
      </c>
      <c r="T4" s="65" t="s">
        <v>196</v>
      </c>
      <c r="U4" s="65" t="s">
        <v>196</v>
      </c>
      <c r="V4" s="65" t="s">
        <v>173</v>
      </c>
      <c r="W4" s="65" t="s">
        <v>599</v>
      </c>
      <c r="X4" s="98" t="s">
        <v>166</v>
      </c>
      <c r="Y4" s="98" t="s">
        <v>19</v>
      </c>
      <c r="Z4" s="65" t="s">
        <v>357</v>
      </c>
      <c r="AA4" s="65" t="s">
        <v>188</v>
      </c>
      <c r="AB4" s="65">
        <v>7712067240</v>
      </c>
      <c r="AC4" s="65" t="s">
        <v>576</v>
      </c>
      <c r="AD4" s="62">
        <v>1</v>
      </c>
      <c r="AE4" s="62">
        <f>AF4/4</f>
        <v>425</v>
      </c>
      <c r="AF4" s="69">
        <v>1700</v>
      </c>
      <c r="AG4" s="62" t="s">
        <v>132</v>
      </c>
      <c r="AH4" s="65" t="s">
        <v>822</v>
      </c>
    </row>
    <row r="5" spans="1:35" ht="54.75" customHeight="1" x14ac:dyDescent="0.2">
      <c r="A5" s="83">
        <v>3</v>
      </c>
      <c r="B5" s="66" t="s">
        <v>406</v>
      </c>
      <c r="C5" s="67" t="s">
        <v>107</v>
      </c>
      <c r="D5" s="68">
        <v>46092</v>
      </c>
      <c r="E5" s="65" t="s">
        <v>407</v>
      </c>
      <c r="F5" s="36" t="s">
        <v>548</v>
      </c>
      <c r="G5" s="83" t="s">
        <v>589</v>
      </c>
      <c r="H5" s="65" t="s">
        <v>142</v>
      </c>
      <c r="I5" s="65" t="s">
        <v>198</v>
      </c>
      <c r="J5" s="68">
        <v>46094</v>
      </c>
      <c r="K5" s="62" t="s">
        <v>2</v>
      </c>
      <c r="L5" s="65" t="s">
        <v>899</v>
      </c>
      <c r="M5" s="65" t="s">
        <v>900</v>
      </c>
      <c r="N5" s="65" t="s">
        <v>3</v>
      </c>
      <c r="O5" s="65" t="s">
        <v>196</v>
      </c>
      <c r="P5" s="65" t="s">
        <v>196</v>
      </c>
      <c r="Q5" s="65" t="s">
        <v>196</v>
      </c>
      <c r="R5" s="65" t="s">
        <v>196</v>
      </c>
      <c r="S5" s="65" t="s">
        <v>196</v>
      </c>
      <c r="T5" s="65" t="s">
        <v>196</v>
      </c>
      <c r="U5" s="65" t="s">
        <v>196</v>
      </c>
      <c r="V5" s="65" t="s">
        <v>173</v>
      </c>
      <c r="W5" s="65" t="s">
        <v>599</v>
      </c>
      <c r="X5" s="98" t="s">
        <v>1039</v>
      </c>
      <c r="Y5" s="98" t="s">
        <v>16</v>
      </c>
      <c r="Z5" s="65" t="s">
        <v>408</v>
      </c>
      <c r="AA5" s="65" t="s">
        <v>189</v>
      </c>
      <c r="AB5" s="65">
        <v>7714057898</v>
      </c>
      <c r="AC5" s="65"/>
      <c r="AD5" s="62">
        <v>1</v>
      </c>
      <c r="AE5" s="89">
        <v>1</v>
      </c>
      <c r="AF5" s="84">
        <v>0</v>
      </c>
      <c r="AG5" s="89" t="s">
        <v>132</v>
      </c>
      <c r="AH5" s="65" t="s">
        <v>822</v>
      </c>
    </row>
    <row r="6" spans="1:35" ht="53.25" customHeight="1" x14ac:dyDescent="0.2">
      <c r="A6" s="83">
        <v>4</v>
      </c>
      <c r="B6" s="66" t="s">
        <v>538</v>
      </c>
      <c r="C6" s="67" t="s">
        <v>108</v>
      </c>
      <c r="D6" s="68">
        <v>46119</v>
      </c>
      <c r="E6" s="65" t="s">
        <v>539</v>
      </c>
      <c r="F6" s="36" t="s">
        <v>548</v>
      </c>
      <c r="G6" s="83" t="s">
        <v>1071</v>
      </c>
      <c r="H6" s="65" t="s">
        <v>142</v>
      </c>
      <c r="I6" s="65" t="s">
        <v>198</v>
      </c>
      <c r="J6" s="68">
        <v>46119</v>
      </c>
      <c r="K6" s="62" t="s">
        <v>2</v>
      </c>
      <c r="L6" s="65" t="s">
        <v>963</v>
      </c>
      <c r="M6" s="65" t="s">
        <v>964</v>
      </c>
      <c r="N6" s="65" t="s">
        <v>2</v>
      </c>
      <c r="O6" s="65" t="s">
        <v>965</v>
      </c>
      <c r="P6" s="65" t="s">
        <v>3</v>
      </c>
      <c r="Q6" s="65" t="s">
        <v>196</v>
      </c>
      <c r="R6" s="65" t="s">
        <v>196</v>
      </c>
      <c r="S6" s="65" t="s">
        <v>196</v>
      </c>
      <c r="T6" s="65" t="s">
        <v>196</v>
      </c>
      <c r="U6" s="65" t="s">
        <v>196</v>
      </c>
      <c r="V6" s="65" t="s">
        <v>174</v>
      </c>
      <c r="W6" s="65" t="s">
        <v>599</v>
      </c>
      <c r="X6" s="98" t="s">
        <v>1043</v>
      </c>
      <c r="Y6" s="98" t="s">
        <v>13</v>
      </c>
      <c r="Z6" s="65" t="s">
        <v>540</v>
      </c>
      <c r="AA6" s="65" t="s">
        <v>189</v>
      </c>
      <c r="AB6" s="65">
        <v>7721374560</v>
      </c>
      <c r="AC6" s="65"/>
      <c r="AD6" s="62">
        <v>1</v>
      </c>
      <c r="AE6" s="62">
        <f>AF6/4</f>
        <v>30</v>
      </c>
      <c r="AF6" s="84">
        <v>120</v>
      </c>
      <c r="AG6" s="62" t="s">
        <v>133</v>
      </c>
      <c r="AH6" s="65" t="s">
        <v>819</v>
      </c>
    </row>
    <row r="7" spans="1:35" ht="54.75" customHeight="1" x14ac:dyDescent="0.2">
      <c r="A7" s="83">
        <v>5</v>
      </c>
      <c r="B7" s="66" t="s">
        <v>213</v>
      </c>
      <c r="C7" s="67" t="s">
        <v>106</v>
      </c>
      <c r="D7" s="68">
        <v>46057</v>
      </c>
      <c r="E7" s="65" t="s">
        <v>211</v>
      </c>
      <c r="F7" s="36" t="s">
        <v>555</v>
      </c>
      <c r="G7" s="83" t="s">
        <v>556</v>
      </c>
      <c r="H7" s="65" t="s">
        <v>4</v>
      </c>
      <c r="I7" s="65" t="s">
        <v>198</v>
      </c>
      <c r="J7" s="68">
        <v>46057</v>
      </c>
      <c r="K7" s="62" t="s">
        <v>2</v>
      </c>
      <c r="L7" s="65" t="s">
        <v>823</v>
      </c>
      <c r="M7" s="65" t="s">
        <v>824</v>
      </c>
      <c r="N7" s="65" t="s">
        <v>196</v>
      </c>
      <c r="O7" s="65" t="s">
        <v>196</v>
      </c>
      <c r="P7" s="65" t="s">
        <v>196</v>
      </c>
      <c r="Q7" s="65" t="s">
        <v>196</v>
      </c>
      <c r="R7" s="65" t="s">
        <v>196</v>
      </c>
      <c r="S7" s="65" t="s">
        <v>196</v>
      </c>
      <c r="T7" s="65" t="s">
        <v>196</v>
      </c>
      <c r="U7" s="65" t="s">
        <v>196</v>
      </c>
      <c r="V7" s="65" t="s">
        <v>178</v>
      </c>
      <c r="W7" s="65" t="s">
        <v>598</v>
      </c>
      <c r="X7" s="65" t="s">
        <v>1047</v>
      </c>
      <c r="Y7" s="65"/>
      <c r="Z7" s="65"/>
      <c r="AA7" s="65" t="s">
        <v>188</v>
      </c>
      <c r="AB7" s="65" t="s">
        <v>288</v>
      </c>
      <c r="AC7" s="65" t="s">
        <v>557</v>
      </c>
      <c r="AD7" s="62">
        <v>1</v>
      </c>
      <c r="AE7" s="62">
        <v>1</v>
      </c>
      <c r="AF7" s="69">
        <v>0</v>
      </c>
      <c r="AG7" s="65" t="s">
        <v>196</v>
      </c>
      <c r="AH7" s="65" t="s">
        <v>196</v>
      </c>
    </row>
    <row r="8" spans="1:35" ht="54.75" customHeight="1" x14ac:dyDescent="0.2">
      <c r="A8" s="83">
        <v>6</v>
      </c>
      <c r="B8" s="66" t="s">
        <v>614</v>
      </c>
      <c r="C8" s="67" t="s">
        <v>108</v>
      </c>
      <c r="D8" s="68">
        <v>46125</v>
      </c>
      <c r="E8" s="65" t="s">
        <v>615</v>
      </c>
      <c r="F8" s="36" t="s">
        <v>548</v>
      </c>
      <c r="G8" s="83" t="s">
        <v>613</v>
      </c>
      <c r="H8" s="65" t="s">
        <v>142</v>
      </c>
      <c r="I8" s="65" t="s">
        <v>198</v>
      </c>
      <c r="J8" s="68">
        <v>46125</v>
      </c>
      <c r="K8" s="62" t="s">
        <v>2</v>
      </c>
      <c r="L8" s="65" t="s">
        <v>979</v>
      </c>
      <c r="M8" s="65" t="s">
        <v>980</v>
      </c>
      <c r="N8" s="65" t="s">
        <v>2</v>
      </c>
      <c r="O8" s="65" t="s">
        <v>981</v>
      </c>
      <c r="P8" s="65" t="s">
        <v>3</v>
      </c>
      <c r="Q8" s="65" t="s">
        <v>196</v>
      </c>
      <c r="R8" s="65" t="s">
        <v>196</v>
      </c>
      <c r="S8" s="65" t="s">
        <v>196</v>
      </c>
      <c r="T8" s="65" t="s">
        <v>196</v>
      </c>
      <c r="U8" s="65" t="s">
        <v>196</v>
      </c>
      <c r="V8" s="65" t="s">
        <v>174</v>
      </c>
      <c r="W8" s="65" t="s">
        <v>599</v>
      </c>
      <c r="X8" s="98" t="s">
        <v>1039</v>
      </c>
      <c r="Y8" s="98" t="s">
        <v>36</v>
      </c>
      <c r="Z8" s="65" t="s">
        <v>612</v>
      </c>
      <c r="AA8" s="65" t="s">
        <v>188</v>
      </c>
      <c r="AB8" s="65">
        <v>7731284313</v>
      </c>
      <c r="AC8" s="65" t="s">
        <v>978</v>
      </c>
      <c r="AD8" s="62">
        <v>1</v>
      </c>
      <c r="AE8" s="62">
        <f>AF8/4</f>
        <v>45</v>
      </c>
      <c r="AF8" s="84">
        <v>180</v>
      </c>
      <c r="AG8" s="62" t="s">
        <v>133</v>
      </c>
      <c r="AH8" s="65" t="s">
        <v>819</v>
      </c>
    </row>
    <row r="9" spans="1:35" ht="61.5" customHeight="1" x14ac:dyDescent="0.2">
      <c r="A9" s="83">
        <v>7</v>
      </c>
      <c r="B9" s="66" t="s">
        <v>1789</v>
      </c>
      <c r="C9" s="67" t="s">
        <v>110</v>
      </c>
      <c r="D9" s="68">
        <v>46190</v>
      </c>
      <c r="E9" s="65" t="s">
        <v>1265</v>
      </c>
      <c r="F9" s="36" t="s">
        <v>548</v>
      </c>
      <c r="G9" s="83" t="s">
        <v>1269</v>
      </c>
      <c r="H9" s="65" t="s">
        <v>142</v>
      </c>
      <c r="I9" s="65" t="s">
        <v>198</v>
      </c>
      <c r="J9" s="68">
        <v>46191</v>
      </c>
      <c r="K9" s="62" t="s">
        <v>2</v>
      </c>
      <c r="L9" s="65" t="s">
        <v>1270</v>
      </c>
      <c r="M9" s="65" t="s">
        <v>1366</v>
      </c>
      <c r="N9" s="65" t="s">
        <v>3</v>
      </c>
      <c r="O9" s="65" t="s">
        <v>196</v>
      </c>
      <c r="P9" s="65" t="s">
        <v>196</v>
      </c>
      <c r="Q9" s="65" t="s">
        <v>196</v>
      </c>
      <c r="R9" s="65"/>
      <c r="S9" s="65"/>
      <c r="T9" s="65"/>
      <c r="U9" s="65"/>
      <c r="V9" s="65" t="s">
        <v>174</v>
      </c>
      <c r="W9" s="65" t="s">
        <v>599</v>
      </c>
      <c r="X9" s="98" t="s">
        <v>1049</v>
      </c>
      <c r="Y9" s="98" t="s">
        <v>88</v>
      </c>
      <c r="Z9" s="65" t="s">
        <v>1267</v>
      </c>
      <c r="AA9" s="65" t="s">
        <v>188</v>
      </c>
      <c r="AB9" s="65" t="s">
        <v>1268</v>
      </c>
      <c r="AC9" s="65"/>
      <c r="AD9" s="62">
        <v>1</v>
      </c>
      <c r="AE9" s="100"/>
      <c r="AF9" s="81"/>
      <c r="AG9" s="62" t="s">
        <v>134</v>
      </c>
      <c r="AH9" s="65" t="s">
        <v>840</v>
      </c>
    </row>
    <row r="10" spans="1:35" ht="57.75" customHeight="1" x14ac:dyDescent="0.2">
      <c r="A10" s="83">
        <v>8</v>
      </c>
      <c r="B10" s="66" t="s">
        <v>1271</v>
      </c>
      <c r="C10" s="67" t="s">
        <v>110</v>
      </c>
      <c r="D10" s="68">
        <v>46190</v>
      </c>
      <c r="E10" s="65" t="s">
        <v>1278</v>
      </c>
      <c r="F10" s="36" t="s">
        <v>548</v>
      </c>
      <c r="G10" s="83" t="s">
        <v>1279</v>
      </c>
      <c r="H10" s="65" t="s">
        <v>142</v>
      </c>
      <c r="I10" s="65" t="s">
        <v>198</v>
      </c>
      <c r="J10" s="68">
        <v>46191</v>
      </c>
      <c r="K10" s="62" t="s">
        <v>2</v>
      </c>
      <c r="L10" s="65" t="s">
        <v>1280</v>
      </c>
      <c r="M10" s="65" t="s">
        <v>1367</v>
      </c>
      <c r="N10" s="65" t="s">
        <v>196</v>
      </c>
      <c r="O10" s="65" t="s">
        <v>196</v>
      </c>
      <c r="P10" s="65" t="s">
        <v>196</v>
      </c>
      <c r="Q10" s="65" t="s">
        <v>196</v>
      </c>
      <c r="R10" s="65"/>
      <c r="S10" s="65"/>
      <c r="T10" s="65"/>
      <c r="U10" s="65"/>
      <c r="V10" s="65" t="s">
        <v>174</v>
      </c>
      <c r="W10" s="65" t="s">
        <v>599</v>
      </c>
      <c r="X10" s="98" t="s">
        <v>166</v>
      </c>
      <c r="Y10" s="98" t="s">
        <v>88</v>
      </c>
      <c r="Z10" s="65" t="s">
        <v>1267</v>
      </c>
      <c r="AA10" s="65" t="s">
        <v>188</v>
      </c>
      <c r="AB10" s="65" t="s">
        <v>1268</v>
      </c>
      <c r="AC10" s="65"/>
      <c r="AD10" s="62">
        <v>1</v>
      </c>
      <c r="AE10" s="100"/>
      <c r="AF10" s="81"/>
      <c r="AG10" s="62" t="s">
        <v>134</v>
      </c>
      <c r="AH10" s="65" t="s">
        <v>840</v>
      </c>
    </row>
    <row r="11" spans="1:35" ht="75" customHeight="1" x14ac:dyDescent="0.2">
      <c r="A11" s="83">
        <v>9</v>
      </c>
      <c r="B11" s="66" t="s">
        <v>1272</v>
      </c>
      <c r="C11" s="67" t="s">
        <v>110</v>
      </c>
      <c r="D11" s="68">
        <v>46190</v>
      </c>
      <c r="E11" s="65" t="s">
        <v>1281</v>
      </c>
      <c r="F11" s="36" t="s">
        <v>548</v>
      </c>
      <c r="G11" s="83" t="s">
        <v>1283</v>
      </c>
      <c r="H11" s="65" t="s">
        <v>140</v>
      </c>
      <c r="I11" s="65" t="s">
        <v>198</v>
      </c>
      <c r="J11" s="68">
        <v>46191</v>
      </c>
      <c r="K11" s="62" t="s">
        <v>2</v>
      </c>
      <c r="L11" s="65" t="s">
        <v>1284</v>
      </c>
      <c r="M11" s="65" t="s">
        <v>1368</v>
      </c>
      <c r="N11" s="65" t="s">
        <v>196</v>
      </c>
      <c r="O11" s="65" t="s">
        <v>196</v>
      </c>
      <c r="P11" s="65" t="s">
        <v>196</v>
      </c>
      <c r="Q11" s="65" t="s">
        <v>196</v>
      </c>
      <c r="R11" s="65"/>
      <c r="S11" s="65"/>
      <c r="T11" s="65"/>
      <c r="U11" s="65"/>
      <c r="V11" s="65" t="s">
        <v>173</v>
      </c>
      <c r="W11" s="65" t="s">
        <v>599</v>
      </c>
      <c r="X11" s="98" t="s">
        <v>165</v>
      </c>
      <c r="Y11" s="98" t="s">
        <v>45</v>
      </c>
      <c r="Z11" s="65" t="s">
        <v>1282</v>
      </c>
      <c r="AA11" s="65" t="s">
        <v>189</v>
      </c>
      <c r="AB11" s="65" t="s">
        <v>1285</v>
      </c>
      <c r="AC11" s="65"/>
      <c r="AD11" s="62">
        <v>1</v>
      </c>
      <c r="AE11" s="100"/>
      <c r="AF11" s="81"/>
      <c r="AG11" s="62" t="s">
        <v>132</v>
      </c>
      <c r="AH11" s="65" t="s">
        <v>822</v>
      </c>
    </row>
    <row r="12" spans="1:35" ht="72.75" customHeight="1" x14ac:dyDescent="0.2">
      <c r="A12" s="83">
        <v>10</v>
      </c>
      <c r="B12" s="66" t="s">
        <v>1276</v>
      </c>
      <c r="C12" s="67" t="s">
        <v>110</v>
      </c>
      <c r="D12" s="68">
        <v>46190</v>
      </c>
      <c r="E12" s="65" t="s">
        <v>1306</v>
      </c>
      <c r="F12" s="36" t="s">
        <v>548</v>
      </c>
      <c r="G12" s="83" t="s">
        <v>1308</v>
      </c>
      <c r="H12" s="65" t="s">
        <v>142</v>
      </c>
      <c r="I12" s="65" t="s">
        <v>198</v>
      </c>
      <c r="J12" s="68">
        <v>46191</v>
      </c>
      <c r="K12" s="62" t="s">
        <v>2</v>
      </c>
      <c r="L12" s="65" t="s">
        <v>1309</v>
      </c>
      <c r="M12" s="65" t="s">
        <v>1369</v>
      </c>
      <c r="N12" s="65" t="s">
        <v>196</v>
      </c>
      <c r="O12" s="65" t="s">
        <v>196</v>
      </c>
      <c r="P12" s="65" t="s">
        <v>196</v>
      </c>
      <c r="Q12" s="65" t="s">
        <v>196</v>
      </c>
      <c r="R12" s="65"/>
      <c r="S12" s="65"/>
      <c r="T12" s="65"/>
      <c r="U12" s="65"/>
      <c r="V12" s="65" t="s">
        <v>173</v>
      </c>
      <c r="W12" s="65" t="s">
        <v>599</v>
      </c>
      <c r="X12" s="98" t="s">
        <v>1039</v>
      </c>
      <c r="Y12" s="98" t="s">
        <v>63</v>
      </c>
      <c r="Z12" s="65" t="s">
        <v>1307</v>
      </c>
      <c r="AA12" s="65" t="s">
        <v>189</v>
      </c>
      <c r="AB12" s="65" t="s">
        <v>1310</v>
      </c>
      <c r="AC12" s="65"/>
      <c r="AD12" s="62">
        <v>1</v>
      </c>
      <c r="AE12" s="100"/>
      <c r="AF12" s="81"/>
      <c r="AG12" s="62" t="s">
        <v>132</v>
      </c>
      <c r="AH12" s="65" t="s">
        <v>835</v>
      </c>
    </row>
    <row r="13" spans="1:35" ht="70.5" customHeight="1" x14ac:dyDescent="0.2">
      <c r="A13" s="83">
        <v>11</v>
      </c>
      <c r="B13" s="66" t="s">
        <v>1273</v>
      </c>
      <c r="C13" s="67" t="s">
        <v>110</v>
      </c>
      <c r="D13" s="68">
        <v>46190</v>
      </c>
      <c r="E13" s="65" t="s">
        <v>1286</v>
      </c>
      <c r="F13" s="36" t="s">
        <v>548</v>
      </c>
      <c r="G13" s="83" t="s">
        <v>1287</v>
      </c>
      <c r="H13" s="65" t="s">
        <v>142</v>
      </c>
      <c r="I13" s="65" t="s">
        <v>198</v>
      </c>
      <c r="J13" s="68">
        <v>46191</v>
      </c>
      <c r="K13" s="62" t="s">
        <v>2</v>
      </c>
      <c r="L13" s="65" t="s">
        <v>1289</v>
      </c>
      <c r="M13" s="65" t="s">
        <v>1370</v>
      </c>
      <c r="N13" s="65" t="s">
        <v>196</v>
      </c>
      <c r="O13" s="65" t="s">
        <v>196</v>
      </c>
      <c r="P13" s="65" t="s">
        <v>196</v>
      </c>
      <c r="Q13" s="65" t="s">
        <v>196</v>
      </c>
      <c r="R13" s="65"/>
      <c r="S13" s="65"/>
      <c r="T13" s="65"/>
      <c r="U13" s="65"/>
      <c r="V13" s="65" t="s">
        <v>173</v>
      </c>
      <c r="W13" s="65" t="s">
        <v>599</v>
      </c>
      <c r="X13" s="98" t="s">
        <v>166</v>
      </c>
      <c r="Y13" s="98" t="s">
        <v>58</v>
      </c>
      <c r="Z13" s="65" t="s">
        <v>1288</v>
      </c>
      <c r="AA13" s="65" t="s">
        <v>188</v>
      </c>
      <c r="AB13" s="65" t="s">
        <v>1290</v>
      </c>
      <c r="AC13" s="65"/>
      <c r="AD13" s="62">
        <v>1</v>
      </c>
      <c r="AE13" s="100"/>
      <c r="AF13" s="81"/>
      <c r="AG13" s="62" t="s">
        <v>132</v>
      </c>
      <c r="AH13" s="65" t="s">
        <v>822</v>
      </c>
    </row>
    <row r="14" spans="1:35" ht="128.25" customHeight="1" x14ac:dyDescent="0.2">
      <c r="A14" s="83">
        <v>12</v>
      </c>
      <c r="B14" s="66" t="s">
        <v>1274</v>
      </c>
      <c r="C14" s="67" t="s">
        <v>110</v>
      </c>
      <c r="D14" s="68">
        <v>46190</v>
      </c>
      <c r="E14" s="65" t="s">
        <v>1291</v>
      </c>
      <c r="F14" s="36" t="s">
        <v>548</v>
      </c>
      <c r="G14" s="83" t="s">
        <v>1292</v>
      </c>
      <c r="H14" s="65" t="s">
        <v>142</v>
      </c>
      <c r="I14" s="65" t="s">
        <v>198</v>
      </c>
      <c r="J14" s="68">
        <v>46191</v>
      </c>
      <c r="K14" s="62" t="s">
        <v>2</v>
      </c>
      <c r="L14" s="65" t="s">
        <v>1293</v>
      </c>
      <c r="M14" s="65" t="s">
        <v>1371</v>
      </c>
      <c r="N14" s="65" t="s">
        <v>196</v>
      </c>
      <c r="O14" s="65" t="s">
        <v>196</v>
      </c>
      <c r="P14" s="65" t="s">
        <v>196</v>
      </c>
      <c r="Q14" s="65" t="s">
        <v>196</v>
      </c>
      <c r="R14" s="65"/>
      <c r="S14" s="65"/>
      <c r="T14" s="65"/>
      <c r="U14" s="65"/>
      <c r="V14" s="65" t="s">
        <v>173</v>
      </c>
      <c r="W14" s="65" t="s">
        <v>599</v>
      </c>
      <c r="X14" s="98" t="s">
        <v>1039</v>
      </c>
      <c r="Y14" s="98" t="s">
        <v>63</v>
      </c>
      <c r="Z14" s="65" t="s">
        <v>1294</v>
      </c>
      <c r="AA14" s="65" t="s">
        <v>188</v>
      </c>
      <c r="AB14" s="65" t="s">
        <v>1295</v>
      </c>
      <c r="AC14" s="65"/>
      <c r="AD14" s="62">
        <v>1</v>
      </c>
      <c r="AE14" s="100"/>
      <c r="AF14" s="81"/>
      <c r="AG14" s="62" t="s">
        <v>132</v>
      </c>
      <c r="AH14" s="65" t="s">
        <v>835</v>
      </c>
    </row>
    <row r="15" spans="1:35" ht="62.25" customHeight="1" x14ac:dyDescent="0.2">
      <c r="A15" s="83">
        <v>13</v>
      </c>
      <c r="B15" s="66" t="s">
        <v>1275</v>
      </c>
      <c r="C15" s="67" t="s">
        <v>110</v>
      </c>
      <c r="D15" s="68">
        <v>46190</v>
      </c>
      <c r="E15" s="65" t="s">
        <v>1296</v>
      </c>
      <c r="F15" s="36" t="s">
        <v>548</v>
      </c>
      <c r="G15" s="83" t="s">
        <v>1299</v>
      </c>
      <c r="H15" s="65" t="s">
        <v>142</v>
      </c>
      <c r="I15" s="65" t="s">
        <v>198</v>
      </c>
      <c r="J15" s="68">
        <v>46191</v>
      </c>
      <c r="K15" s="62" t="s">
        <v>2</v>
      </c>
      <c r="L15" s="65" t="s">
        <v>1298</v>
      </c>
      <c r="M15" s="65" t="s">
        <v>1372</v>
      </c>
      <c r="N15" s="65" t="s">
        <v>196</v>
      </c>
      <c r="O15" s="65" t="s">
        <v>196</v>
      </c>
      <c r="P15" s="65" t="s">
        <v>196</v>
      </c>
      <c r="Q15" s="65" t="s">
        <v>196</v>
      </c>
      <c r="R15" s="65"/>
      <c r="S15" s="65"/>
      <c r="T15" s="65"/>
      <c r="U15" s="65"/>
      <c r="V15" s="65" t="s">
        <v>173</v>
      </c>
      <c r="W15" s="65" t="s">
        <v>599</v>
      </c>
      <c r="X15" s="98" t="s">
        <v>1039</v>
      </c>
      <c r="Y15" s="98" t="s">
        <v>63</v>
      </c>
      <c r="Z15" s="65" t="s">
        <v>1297</v>
      </c>
      <c r="AA15" s="65" t="s">
        <v>189</v>
      </c>
      <c r="AB15" s="65" t="s">
        <v>1300</v>
      </c>
      <c r="AC15" s="65"/>
      <c r="AD15" s="62">
        <v>1</v>
      </c>
      <c r="AE15" s="100"/>
      <c r="AF15" s="81"/>
      <c r="AG15" s="62" t="s">
        <v>132</v>
      </c>
      <c r="AH15" s="65" t="s">
        <v>835</v>
      </c>
    </row>
    <row r="16" spans="1:35" ht="57.75" customHeight="1" x14ac:dyDescent="0.2">
      <c r="A16" s="83">
        <v>14</v>
      </c>
      <c r="B16" s="66" t="s">
        <v>1277</v>
      </c>
      <c r="C16" s="67" t="s">
        <v>110</v>
      </c>
      <c r="D16" s="68">
        <v>46190</v>
      </c>
      <c r="E16" s="65" t="s">
        <v>1301</v>
      </c>
      <c r="F16" s="36" t="s">
        <v>548</v>
      </c>
      <c r="G16" s="83" t="s">
        <v>1303</v>
      </c>
      <c r="H16" s="65" t="s">
        <v>142</v>
      </c>
      <c r="I16" s="65" t="s">
        <v>198</v>
      </c>
      <c r="J16" s="68">
        <v>46191</v>
      </c>
      <c r="K16" s="62" t="s">
        <v>2</v>
      </c>
      <c r="L16" s="65" t="s">
        <v>1304</v>
      </c>
      <c r="M16" s="65" t="s">
        <v>1373</v>
      </c>
      <c r="N16" s="65" t="s">
        <v>196</v>
      </c>
      <c r="O16" s="65" t="s">
        <v>196</v>
      </c>
      <c r="P16" s="65" t="s">
        <v>196</v>
      </c>
      <c r="Q16" s="65" t="s">
        <v>196</v>
      </c>
      <c r="R16" s="65"/>
      <c r="S16" s="65"/>
      <c r="T16" s="65"/>
      <c r="U16" s="65"/>
      <c r="V16" s="65" t="s">
        <v>173</v>
      </c>
      <c r="W16" s="65" t="s">
        <v>599</v>
      </c>
      <c r="X16" s="98" t="s">
        <v>1039</v>
      </c>
      <c r="Y16" s="98" t="s">
        <v>23</v>
      </c>
      <c r="Z16" s="65" t="s">
        <v>1302</v>
      </c>
      <c r="AA16" s="65" t="s">
        <v>189</v>
      </c>
      <c r="AB16" s="65" t="s">
        <v>1305</v>
      </c>
      <c r="AC16" s="65"/>
      <c r="AD16" s="62">
        <v>1</v>
      </c>
      <c r="AE16" s="100"/>
      <c r="AF16" s="81"/>
      <c r="AG16" s="62" t="s">
        <v>132</v>
      </c>
      <c r="AH16" s="65" t="s">
        <v>835</v>
      </c>
    </row>
    <row r="17" spans="1:34" ht="42" customHeight="1" x14ac:dyDescent="0.2">
      <c r="A17" s="83">
        <v>15</v>
      </c>
      <c r="B17" s="66" t="s">
        <v>759</v>
      </c>
      <c r="C17" s="67" t="s">
        <v>109</v>
      </c>
      <c r="D17" s="68">
        <v>46149</v>
      </c>
      <c r="E17" s="65" t="s">
        <v>760</v>
      </c>
      <c r="F17" s="80" t="s">
        <v>544</v>
      </c>
      <c r="G17" s="83" t="s">
        <v>761</v>
      </c>
      <c r="H17" s="65" t="s">
        <v>4</v>
      </c>
      <c r="I17" s="65" t="s">
        <v>195</v>
      </c>
      <c r="J17" s="68">
        <v>46149</v>
      </c>
      <c r="K17" s="62" t="s">
        <v>2</v>
      </c>
      <c r="L17" s="62" t="s">
        <v>1025</v>
      </c>
      <c r="M17" s="65" t="s">
        <v>1026</v>
      </c>
      <c r="N17" s="65" t="s">
        <v>196</v>
      </c>
      <c r="O17" s="65" t="s">
        <v>196</v>
      </c>
      <c r="P17" s="65" t="s">
        <v>196</v>
      </c>
      <c r="Q17" s="65" t="s">
        <v>196</v>
      </c>
      <c r="R17" s="65" t="s">
        <v>196</v>
      </c>
      <c r="S17" s="65" t="s">
        <v>196</v>
      </c>
      <c r="T17" s="65" t="s">
        <v>196</v>
      </c>
      <c r="U17" s="65" t="s">
        <v>196</v>
      </c>
      <c r="V17" s="65" t="s">
        <v>175</v>
      </c>
      <c r="W17" s="65" t="s">
        <v>598</v>
      </c>
      <c r="X17" s="65" t="s">
        <v>1047</v>
      </c>
      <c r="Y17" s="65"/>
      <c r="Z17" s="65"/>
      <c r="AA17" s="65"/>
      <c r="AB17" s="83"/>
      <c r="AC17" s="83"/>
      <c r="AD17" s="62">
        <v>1</v>
      </c>
      <c r="AE17" s="62">
        <v>1</v>
      </c>
      <c r="AF17" s="69">
        <v>0</v>
      </c>
      <c r="AG17" s="65" t="s">
        <v>196</v>
      </c>
      <c r="AH17" s="65" t="s">
        <v>196</v>
      </c>
    </row>
    <row r="18" spans="1:34" ht="57.75" customHeight="1" x14ac:dyDescent="0.2">
      <c r="A18" s="83">
        <v>16</v>
      </c>
      <c r="B18" s="119" t="s">
        <v>192</v>
      </c>
      <c r="C18" s="118" t="s">
        <v>105</v>
      </c>
      <c r="D18" s="117">
        <v>46043</v>
      </c>
      <c r="E18" s="98" t="s">
        <v>193</v>
      </c>
      <c r="F18" s="99" t="s">
        <v>544</v>
      </c>
      <c r="G18" s="98" t="s">
        <v>194</v>
      </c>
      <c r="H18" s="98" t="s">
        <v>148</v>
      </c>
      <c r="I18" s="98" t="s">
        <v>195</v>
      </c>
      <c r="J18" s="117">
        <v>46043</v>
      </c>
      <c r="K18" s="100" t="s">
        <v>2</v>
      </c>
      <c r="L18" s="98" t="s">
        <v>809</v>
      </c>
      <c r="M18" s="98" t="s">
        <v>812</v>
      </c>
      <c r="N18" s="98" t="s">
        <v>196</v>
      </c>
      <c r="O18" s="98" t="s">
        <v>196</v>
      </c>
      <c r="P18" s="98" t="s">
        <v>196</v>
      </c>
      <c r="Q18" s="98" t="s">
        <v>196</v>
      </c>
      <c r="R18" s="98" t="s">
        <v>196</v>
      </c>
      <c r="S18" s="98" t="s">
        <v>196</v>
      </c>
      <c r="T18" s="98" t="s">
        <v>196</v>
      </c>
      <c r="U18" s="98" t="s">
        <v>196</v>
      </c>
      <c r="V18" s="98" t="s">
        <v>175</v>
      </c>
      <c r="W18" s="98" t="s">
        <v>598</v>
      </c>
      <c r="X18" s="98" t="s">
        <v>1047</v>
      </c>
      <c r="Y18" s="98"/>
      <c r="Z18" s="98"/>
      <c r="AA18" s="98" t="s">
        <v>188</v>
      </c>
      <c r="AB18" s="98" t="s">
        <v>282</v>
      </c>
      <c r="AC18" s="98" t="s">
        <v>545</v>
      </c>
      <c r="AD18" s="100">
        <v>1</v>
      </c>
      <c r="AE18" s="100">
        <v>1</v>
      </c>
      <c r="AF18" s="81">
        <v>0</v>
      </c>
      <c r="AG18" s="98" t="s">
        <v>196</v>
      </c>
      <c r="AH18" s="98" t="s">
        <v>196</v>
      </c>
    </row>
    <row r="19" spans="1:34" ht="42" customHeight="1" x14ac:dyDescent="0.2">
      <c r="A19" s="83">
        <v>17</v>
      </c>
      <c r="B19" s="66" t="s">
        <v>161</v>
      </c>
      <c r="C19" s="67" t="s">
        <v>105</v>
      </c>
      <c r="D19" s="68">
        <v>46042</v>
      </c>
      <c r="E19" s="65" t="s">
        <v>162</v>
      </c>
      <c r="F19" s="36" t="s">
        <v>163</v>
      </c>
      <c r="G19" s="83" t="s">
        <v>197</v>
      </c>
      <c r="H19" s="65" t="s">
        <v>149</v>
      </c>
      <c r="I19" s="65" t="s">
        <v>198</v>
      </c>
      <c r="J19" s="68">
        <v>46043</v>
      </c>
      <c r="K19" s="62" t="s">
        <v>2</v>
      </c>
      <c r="L19" s="65" t="s">
        <v>196</v>
      </c>
      <c r="M19" s="65" t="s">
        <v>814</v>
      </c>
      <c r="N19" s="65" t="s">
        <v>196</v>
      </c>
      <c r="O19" s="65" t="s">
        <v>196</v>
      </c>
      <c r="P19" s="65" t="s">
        <v>196</v>
      </c>
      <c r="Q19" s="65" t="s">
        <v>196</v>
      </c>
      <c r="R19" s="65" t="s">
        <v>196</v>
      </c>
      <c r="S19" s="65" t="s">
        <v>196</v>
      </c>
      <c r="T19" s="65" t="s">
        <v>196</v>
      </c>
      <c r="U19" s="65" t="s">
        <v>196</v>
      </c>
      <c r="V19" s="65" t="s">
        <v>175</v>
      </c>
      <c r="W19" s="65" t="s">
        <v>598</v>
      </c>
      <c r="X19" s="65" t="s">
        <v>1047</v>
      </c>
      <c r="Y19" s="65"/>
      <c r="Z19" s="65"/>
      <c r="AA19" s="65" t="s">
        <v>188</v>
      </c>
      <c r="AB19" s="65" t="s">
        <v>546</v>
      </c>
      <c r="AC19" s="65" t="s">
        <v>547</v>
      </c>
      <c r="AD19" s="62">
        <v>1</v>
      </c>
      <c r="AE19" s="62">
        <v>1</v>
      </c>
      <c r="AF19" s="69">
        <v>0</v>
      </c>
      <c r="AG19" s="65" t="s">
        <v>196</v>
      </c>
      <c r="AH19" s="65" t="s">
        <v>196</v>
      </c>
    </row>
    <row r="20" spans="1:34" ht="46.5" customHeight="1" x14ac:dyDescent="0.2">
      <c r="A20" s="83">
        <v>18</v>
      </c>
      <c r="B20" s="66" t="s">
        <v>1400</v>
      </c>
      <c r="C20" s="67" t="s">
        <v>111</v>
      </c>
      <c r="D20" s="68">
        <v>46211</v>
      </c>
      <c r="E20" s="65" t="s">
        <v>1401</v>
      </c>
      <c r="F20" s="36" t="s">
        <v>1379</v>
      </c>
      <c r="G20" s="83" t="s">
        <v>1402</v>
      </c>
      <c r="H20" s="65" t="s">
        <v>168</v>
      </c>
      <c r="I20" s="65" t="s">
        <v>198</v>
      </c>
      <c r="J20" s="68">
        <v>46211</v>
      </c>
      <c r="K20" s="62" t="s">
        <v>2</v>
      </c>
      <c r="L20" s="65" t="s">
        <v>1408</v>
      </c>
      <c r="M20" s="65" t="s">
        <v>1443</v>
      </c>
      <c r="N20" s="65" t="s">
        <v>196</v>
      </c>
      <c r="O20" s="65" t="s">
        <v>196</v>
      </c>
      <c r="P20" s="65" t="s">
        <v>196</v>
      </c>
      <c r="Q20" s="65" t="s">
        <v>196</v>
      </c>
      <c r="R20" s="65" t="s">
        <v>196</v>
      </c>
      <c r="S20" s="65" t="s">
        <v>196</v>
      </c>
      <c r="T20" s="65" t="s">
        <v>196</v>
      </c>
      <c r="U20" s="65" t="s">
        <v>196</v>
      </c>
      <c r="V20" s="65" t="s">
        <v>176</v>
      </c>
      <c r="W20" s="65" t="s">
        <v>598</v>
      </c>
      <c r="X20" s="65" t="s">
        <v>1047</v>
      </c>
      <c r="Y20" s="65"/>
      <c r="Z20" s="65"/>
      <c r="AA20" s="65"/>
      <c r="AB20" s="65"/>
      <c r="AC20" s="65"/>
      <c r="AD20" s="89">
        <v>1</v>
      </c>
      <c r="AE20" s="89">
        <v>1</v>
      </c>
      <c r="AF20" s="84">
        <v>0</v>
      </c>
      <c r="AG20" s="65" t="s">
        <v>196</v>
      </c>
      <c r="AH20" s="65" t="s">
        <v>196</v>
      </c>
    </row>
    <row r="21" spans="1:34" ht="56.25" customHeight="1" x14ac:dyDescent="0.2">
      <c r="A21" s="83">
        <v>19</v>
      </c>
      <c r="B21" s="66" t="s">
        <v>225</v>
      </c>
      <c r="C21" s="67" t="s">
        <v>106</v>
      </c>
      <c r="D21" s="68">
        <v>46057</v>
      </c>
      <c r="E21" s="65" t="s">
        <v>226</v>
      </c>
      <c r="F21" s="36" t="s">
        <v>163</v>
      </c>
      <c r="G21" s="83" t="s">
        <v>227</v>
      </c>
      <c r="H21" s="65" t="s">
        <v>148</v>
      </c>
      <c r="I21" s="65" t="s">
        <v>198</v>
      </c>
      <c r="J21" s="68">
        <v>46057</v>
      </c>
      <c r="K21" s="62" t="s">
        <v>2</v>
      </c>
      <c r="L21" s="65" t="s">
        <v>196</v>
      </c>
      <c r="M21" s="65" t="s">
        <v>829</v>
      </c>
      <c r="N21" s="65" t="s">
        <v>196</v>
      </c>
      <c r="O21" s="65" t="s">
        <v>196</v>
      </c>
      <c r="P21" s="65" t="s">
        <v>196</v>
      </c>
      <c r="Q21" s="65" t="s">
        <v>196</v>
      </c>
      <c r="R21" s="65" t="s">
        <v>196</v>
      </c>
      <c r="S21" s="65" t="s">
        <v>196</v>
      </c>
      <c r="T21" s="65" t="s">
        <v>196</v>
      </c>
      <c r="U21" s="65" t="s">
        <v>196</v>
      </c>
      <c r="V21" s="65" t="s">
        <v>175</v>
      </c>
      <c r="W21" s="65" t="s">
        <v>598</v>
      </c>
      <c r="X21" s="65" t="s">
        <v>1047</v>
      </c>
      <c r="Y21" s="65"/>
      <c r="Z21" s="65"/>
      <c r="AA21" s="65" t="s">
        <v>188</v>
      </c>
      <c r="AB21" s="65" t="s">
        <v>546</v>
      </c>
      <c r="AC21" s="65" t="s">
        <v>547</v>
      </c>
      <c r="AD21" s="62">
        <v>1</v>
      </c>
      <c r="AE21" s="62">
        <v>1</v>
      </c>
      <c r="AF21" s="69">
        <v>0</v>
      </c>
      <c r="AG21" s="65" t="s">
        <v>196</v>
      </c>
      <c r="AH21" s="65" t="s">
        <v>196</v>
      </c>
    </row>
    <row r="22" spans="1:34" ht="63" customHeight="1" x14ac:dyDescent="0.2">
      <c r="A22" s="83">
        <v>20</v>
      </c>
      <c r="B22" s="66" t="s">
        <v>1490</v>
      </c>
      <c r="C22" s="67" t="s">
        <v>111</v>
      </c>
      <c r="D22" s="68">
        <v>46232</v>
      </c>
      <c r="E22" s="65" t="s">
        <v>1491</v>
      </c>
      <c r="F22" s="36"/>
      <c r="G22" s="83" t="s">
        <v>1492</v>
      </c>
      <c r="H22" s="65" t="s">
        <v>1425</v>
      </c>
      <c r="I22" s="65" t="s">
        <v>198</v>
      </c>
      <c r="J22" s="68">
        <v>46232</v>
      </c>
      <c r="K22" s="62" t="s">
        <v>2</v>
      </c>
      <c r="L22" s="65" t="s">
        <v>196</v>
      </c>
      <c r="M22" s="65" t="s">
        <v>1822</v>
      </c>
      <c r="N22" s="65" t="s">
        <v>196</v>
      </c>
      <c r="O22" s="65" t="s">
        <v>196</v>
      </c>
      <c r="P22" s="65" t="s">
        <v>196</v>
      </c>
      <c r="Q22" s="65" t="s">
        <v>196</v>
      </c>
      <c r="R22" s="65" t="s">
        <v>196</v>
      </c>
      <c r="S22" s="65" t="s">
        <v>196</v>
      </c>
      <c r="T22" s="65" t="s">
        <v>196</v>
      </c>
      <c r="U22" s="65" t="s">
        <v>196</v>
      </c>
      <c r="V22" s="65" t="s">
        <v>175</v>
      </c>
      <c r="W22" s="65" t="s">
        <v>598</v>
      </c>
      <c r="X22" s="65" t="s">
        <v>1047</v>
      </c>
      <c r="Y22" s="65"/>
      <c r="Z22" s="65"/>
      <c r="AA22" s="65"/>
      <c r="AB22" s="65"/>
      <c r="AC22" s="65"/>
      <c r="AD22" s="89">
        <v>1</v>
      </c>
      <c r="AE22" s="89"/>
      <c r="AF22" s="84"/>
      <c r="AG22" s="65" t="s">
        <v>196</v>
      </c>
      <c r="AH22" s="65" t="s">
        <v>196</v>
      </c>
    </row>
    <row r="23" spans="1:34" ht="60" customHeight="1" x14ac:dyDescent="0.2">
      <c r="A23" s="83">
        <v>21</v>
      </c>
      <c r="B23" s="66" t="s">
        <v>1616</v>
      </c>
      <c r="C23" s="67" t="s">
        <v>112</v>
      </c>
      <c r="D23" s="68">
        <v>46244</v>
      </c>
      <c r="E23" s="65" t="s">
        <v>1617</v>
      </c>
      <c r="F23" s="67" t="s">
        <v>466</v>
      </c>
      <c r="G23" s="83" t="s">
        <v>1618</v>
      </c>
      <c r="H23" s="65" t="s">
        <v>140</v>
      </c>
      <c r="I23" s="65" t="s">
        <v>202</v>
      </c>
      <c r="J23" s="68">
        <v>46244</v>
      </c>
      <c r="K23" s="62" t="s">
        <v>2</v>
      </c>
      <c r="L23" s="122" t="s">
        <v>1641</v>
      </c>
      <c r="M23" s="65" t="s">
        <v>1642</v>
      </c>
      <c r="N23" s="65" t="s">
        <v>196</v>
      </c>
      <c r="O23" s="65" t="s">
        <v>196</v>
      </c>
      <c r="P23" s="65" t="s">
        <v>196</v>
      </c>
      <c r="Q23" s="65" t="s">
        <v>196</v>
      </c>
      <c r="R23" s="65" t="s">
        <v>196</v>
      </c>
      <c r="S23" s="65" t="s">
        <v>196</v>
      </c>
      <c r="T23" s="65" t="s">
        <v>196</v>
      </c>
      <c r="U23" s="65" t="s">
        <v>196</v>
      </c>
      <c r="V23" s="65" t="s">
        <v>175</v>
      </c>
      <c r="W23" s="65" t="s">
        <v>598</v>
      </c>
      <c r="X23" s="65" t="s">
        <v>1047</v>
      </c>
      <c r="Y23" s="65"/>
      <c r="Z23" s="65"/>
      <c r="AA23" s="65" t="s">
        <v>189</v>
      </c>
      <c r="AB23" s="65"/>
      <c r="AC23" s="65"/>
      <c r="AD23" s="89">
        <v>1</v>
      </c>
      <c r="AE23" s="89">
        <v>1</v>
      </c>
      <c r="AF23" s="84"/>
      <c r="AG23" s="65" t="s">
        <v>196</v>
      </c>
      <c r="AH23" s="65" t="s">
        <v>196</v>
      </c>
    </row>
    <row r="24" spans="1:34" ht="53.25" customHeight="1" x14ac:dyDescent="0.2">
      <c r="A24" s="83">
        <v>22</v>
      </c>
      <c r="B24" s="66" t="s">
        <v>1796</v>
      </c>
      <c r="C24" s="67" t="s">
        <v>112</v>
      </c>
      <c r="D24" s="68">
        <v>46245</v>
      </c>
      <c r="E24" s="65" t="s">
        <v>1633</v>
      </c>
      <c r="F24" s="36" t="s">
        <v>1386</v>
      </c>
      <c r="G24" s="83" t="s">
        <v>1635</v>
      </c>
      <c r="H24" s="65" t="s">
        <v>140</v>
      </c>
      <c r="I24" s="65" t="s">
        <v>198</v>
      </c>
      <c r="J24" s="68">
        <v>46245</v>
      </c>
      <c r="K24" s="62" t="s">
        <v>2</v>
      </c>
      <c r="L24" s="65" t="s">
        <v>1643</v>
      </c>
      <c r="M24" s="65" t="s">
        <v>1644</v>
      </c>
      <c r="N24" s="65" t="s">
        <v>2</v>
      </c>
      <c r="O24" s="65" t="s">
        <v>1774</v>
      </c>
      <c r="P24" s="65" t="s">
        <v>196</v>
      </c>
      <c r="Q24" s="65" t="s">
        <v>196</v>
      </c>
      <c r="R24" s="65"/>
      <c r="S24" s="65"/>
      <c r="T24" s="65"/>
      <c r="U24" s="65"/>
      <c r="V24" s="65" t="s">
        <v>173</v>
      </c>
      <c r="W24" s="65" t="s">
        <v>599</v>
      </c>
      <c r="X24" s="98" t="s">
        <v>1039</v>
      </c>
      <c r="Y24" s="98" t="s">
        <v>21</v>
      </c>
      <c r="Z24" s="65"/>
      <c r="AA24" s="65" t="s">
        <v>188</v>
      </c>
      <c r="AB24" s="65"/>
      <c r="AC24" s="65"/>
      <c r="AD24" s="89">
        <v>1</v>
      </c>
      <c r="AE24" s="89">
        <v>1</v>
      </c>
      <c r="AF24" s="84"/>
      <c r="AG24" s="62" t="s">
        <v>134</v>
      </c>
      <c r="AH24" s="65" t="s">
        <v>840</v>
      </c>
    </row>
    <row r="25" spans="1:34" ht="64.5" customHeight="1" x14ac:dyDescent="0.2">
      <c r="A25" s="83">
        <v>23</v>
      </c>
      <c r="B25" s="66" t="s">
        <v>1636</v>
      </c>
      <c r="C25" s="67" t="s">
        <v>112</v>
      </c>
      <c r="D25" s="68">
        <v>46245</v>
      </c>
      <c r="E25" s="65" t="s">
        <v>1634</v>
      </c>
      <c r="F25" s="36" t="s">
        <v>1386</v>
      </c>
      <c r="G25" s="83" t="s">
        <v>1638</v>
      </c>
      <c r="H25" s="65" t="s">
        <v>140</v>
      </c>
      <c r="I25" s="65" t="s">
        <v>198</v>
      </c>
      <c r="J25" s="68">
        <v>46245</v>
      </c>
      <c r="K25" s="62" t="s">
        <v>2</v>
      </c>
      <c r="L25" s="65" t="s">
        <v>1645</v>
      </c>
      <c r="M25" s="65" t="s">
        <v>1646</v>
      </c>
      <c r="N25" s="65" t="s">
        <v>196</v>
      </c>
      <c r="O25" s="65" t="s">
        <v>196</v>
      </c>
      <c r="P25" s="65" t="s">
        <v>196</v>
      </c>
      <c r="Q25" s="65" t="s">
        <v>196</v>
      </c>
      <c r="R25" s="65"/>
      <c r="S25" s="65"/>
      <c r="T25" s="65"/>
      <c r="U25" s="65"/>
      <c r="V25" s="65" t="s">
        <v>173</v>
      </c>
      <c r="W25" s="65" t="s">
        <v>599</v>
      </c>
      <c r="X25" s="98" t="s">
        <v>1039</v>
      </c>
      <c r="Y25" s="98" t="s">
        <v>37</v>
      </c>
      <c r="Z25" s="65" t="s">
        <v>1637</v>
      </c>
      <c r="AA25" s="65" t="s">
        <v>188</v>
      </c>
      <c r="AB25" s="65"/>
      <c r="AC25" s="65"/>
      <c r="AD25" s="89">
        <v>1</v>
      </c>
      <c r="AE25" s="89">
        <v>1</v>
      </c>
      <c r="AF25" s="84"/>
      <c r="AG25" s="62" t="s">
        <v>133</v>
      </c>
      <c r="AH25" s="65" t="s">
        <v>819</v>
      </c>
    </row>
    <row r="26" spans="1:34" ht="66.75" customHeight="1" x14ac:dyDescent="0.2">
      <c r="A26" s="83">
        <v>24</v>
      </c>
      <c r="B26" s="66" t="s">
        <v>203</v>
      </c>
      <c r="C26" s="67" t="s">
        <v>105</v>
      </c>
      <c r="D26" s="68">
        <v>46045</v>
      </c>
      <c r="E26" s="65" t="s">
        <v>286</v>
      </c>
      <c r="F26" s="36" t="s">
        <v>548</v>
      </c>
      <c r="G26" s="83" t="s">
        <v>204</v>
      </c>
      <c r="H26" s="65" t="s">
        <v>142</v>
      </c>
      <c r="I26" s="65" t="s">
        <v>202</v>
      </c>
      <c r="J26" s="68">
        <v>46048</v>
      </c>
      <c r="K26" s="62" t="s">
        <v>2</v>
      </c>
      <c r="L26" s="65" t="s">
        <v>820</v>
      </c>
      <c r="M26" s="65" t="s">
        <v>821</v>
      </c>
      <c r="N26" s="65" t="s">
        <v>3</v>
      </c>
      <c r="O26" s="65" t="s">
        <v>196</v>
      </c>
      <c r="P26" s="65" t="s">
        <v>196</v>
      </c>
      <c r="Q26" s="65" t="s">
        <v>196</v>
      </c>
      <c r="R26" s="65" t="s">
        <v>196</v>
      </c>
      <c r="S26" s="65" t="s">
        <v>196</v>
      </c>
      <c r="T26" s="65" t="s">
        <v>196</v>
      </c>
      <c r="U26" s="65" t="s">
        <v>196</v>
      </c>
      <c r="V26" s="65" t="s">
        <v>173</v>
      </c>
      <c r="W26" s="65" t="s">
        <v>599</v>
      </c>
      <c r="X26" s="98" t="s">
        <v>1039</v>
      </c>
      <c r="Y26" s="98" t="s">
        <v>65</v>
      </c>
      <c r="Z26" s="65" t="s">
        <v>205</v>
      </c>
      <c r="AA26" s="65" t="s">
        <v>188</v>
      </c>
      <c r="AB26" s="65" t="s">
        <v>285</v>
      </c>
      <c r="AC26" s="65"/>
      <c r="AD26" s="62">
        <v>1</v>
      </c>
      <c r="AE26" s="62">
        <f>AF26/4</f>
        <v>26</v>
      </c>
      <c r="AF26" s="69">
        <v>104</v>
      </c>
      <c r="AG26" s="62" t="s">
        <v>133</v>
      </c>
      <c r="AH26" s="65" t="s">
        <v>819</v>
      </c>
    </row>
    <row r="27" spans="1:34" ht="60.75" customHeight="1" x14ac:dyDescent="0.2">
      <c r="A27" s="83">
        <v>25</v>
      </c>
      <c r="B27" s="66" t="s">
        <v>1529</v>
      </c>
      <c r="C27" s="67" t="s">
        <v>112</v>
      </c>
      <c r="D27" s="68">
        <v>46238</v>
      </c>
      <c r="E27" s="65" t="s">
        <v>1542</v>
      </c>
      <c r="F27" s="36" t="s">
        <v>1386</v>
      </c>
      <c r="G27" s="83" t="s">
        <v>1567</v>
      </c>
      <c r="H27" s="65" t="s">
        <v>140</v>
      </c>
      <c r="I27" s="65" t="s">
        <v>198</v>
      </c>
      <c r="J27" s="68">
        <v>46232</v>
      </c>
      <c r="K27" s="62" t="s">
        <v>2</v>
      </c>
      <c r="L27" s="62" t="s">
        <v>1823</v>
      </c>
      <c r="M27" s="65" t="s">
        <v>1824</v>
      </c>
      <c r="N27" s="65" t="s">
        <v>196</v>
      </c>
      <c r="O27" s="65" t="s">
        <v>196</v>
      </c>
      <c r="P27" s="65" t="s">
        <v>196</v>
      </c>
      <c r="Q27" s="65" t="s">
        <v>196</v>
      </c>
      <c r="R27" s="65" t="s">
        <v>196</v>
      </c>
      <c r="S27" s="65" t="s">
        <v>196</v>
      </c>
      <c r="T27" s="65" t="s">
        <v>196</v>
      </c>
      <c r="U27" s="65" t="s">
        <v>196</v>
      </c>
      <c r="V27" s="65" t="s">
        <v>175</v>
      </c>
      <c r="W27" s="65" t="s">
        <v>598</v>
      </c>
      <c r="X27" s="65" t="s">
        <v>1047</v>
      </c>
      <c r="Y27" s="65"/>
      <c r="Z27" s="65"/>
      <c r="AA27" s="65"/>
      <c r="AB27" s="65"/>
      <c r="AC27" s="65"/>
      <c r="AD27" s="89">
        <v>1</v>
      </c>
      <c r="AE27" s="89">
        <v>1</v>
      </c>
      <c r="AF27" s="84"/>
      <c r="AG27" s="65" t="s">
        <v>196</v>
      </c>
      <c r="AH27" s="65" t="s">
        <v>196</v>
      </c>
    </row>
    <row r="28" spans="1:34" ht="62.25" customHeight="1" x14ac:dyDescent="0.2">
      <c r="A28" s="83">
        <v>26</v>
      </c>
      <c r="B28" s="66" t="s">
        <v>1791</v>
      </c>
      <c r="C28" s="67" t="s">
        <v>112</v>
      </c>
      <c r="D28" s="68">
        <v>46238</v>
      </c>
      <c r="E28" s="65" t="s">
        <v>1549</v>
      </c>
      <c r="F28" s="36" t="s">
        <v>1564</v>
      </c>
      <c r="G28" s="83" t="s">
        <v>1583</v>
      </c>
      <c r="H28" s="65" t="s">
        <v>168</v>
      </c>
      <c r="I28" s="65" t="s">
        <v>198</v>
      </c>
      <c r="J28" s="68">
        <v>46232</v>
      </c>
      <c r="K28" s="62" t="s">
        <v>2</v>
      </c>
      <c r="L28" s="65" t="s">
        <v>1582</v>
      </c>
      <c r="M28" s="65" t="s">
        <v>1659</v>
      </c>
      <c r="N28" s="65" t="s">
        <v>2</v>
      </c>
      <c r="O28" s="65" t="s">
        <v>1683</v>
      </c>
      <c r="P28" s="65" t="s">
        <v>196</v>
      </c>
      <c r="Q28" s="65" t="s">
        <v>196</v>
      </c>
      <c r="R28" s="65"/>
      <c r="S28" s="65"/>
      <c r="T28" s="65"/>
      <c r="U28" s="65"/>
      <c r="V28" s="65" t="s">
        <v>173</v>
      </c>
      <c r="W28" s="65" t="s">
        <v>599</v>
      </c>
      <c r="X28" s="98" t="s">
        <v>1039</v>
      </c>
      <c r="Y28" s="98" t="s">
        <v>32</v>
      </c>
      <c r="Z28" s="65" t="s">
        <v>1581</v>
      </c>
      <c r="AA28" s="65" t="s">
        <v>188</v>
      </c>
      <c r="AB28" s="65"/>
      <c r="AC28" s="65"/>
      <c r="AD28" s="89">
        <v>1</v>
      </c>
      <c r="AE28" s="89">
        <v>1</v>
      </c>
      <c r="AF28" s="84"/>
      <c r="AG28" s="62" t="s">
        <v>134</v>
      </c>
      <c r="AH28" s="65" t="s">
        <v>840</v>
      </c>
    </row>
    <row r="29" spans="1:34" ht="88.5" customHeight="1" x14ac:dyDescent="0.2">
      <c r="A29" s="83">
        <v>27</v>
      </c>
      <c r="B29" s="66" t="s">
        <v>1532</v>
      </c>
      <c r="C29" s="67" t="s">
        <v>112</v>
      </c>
      <c r="D29" s="68">
        <v>46238</v>
      </c>
      <c r="E29" s="65" t="s">
        <v>1545</v>
      </c>
      <c r="F29" s="36" t="s">
        <v>1564</v>
      </c>
      <c r="G29" s="83" t="s">
        <v>1574</v>
      </c>
      <c r="H29" s="65" t="s">
        <v>168</v>
      </c>
      <c r="I29" s="65" t="s">
        <v>198</v>
      </c>
      <c r="J29" s="68">
        <v>46232</v>
      </c>
      <c r="K29" s="62" t="s">
        <v>2</v>
      </c>
      <c r="L29" s="65" t="s">
        <v>1575</v>
      </c>
      <c r="M29" s="65" t="s">
        <v>1688</v>
      </c>
      <c r="N29" s="65" t="s">
        <v>2</v>
      </c>
      <c r="O29" s="65" t="s">
        <v>1680</v>
      </c>
      <c r="P29" s="65" t="s">
        <v>196</v>
      </c>
      <c r="Q29" s="65" t="s">
        <v>196</v>
      </c>
      <c r="R29" s="65"/>
      <c r="S29" s="65"/>
      <c r="T29" s="65"/>
      <c r="U29" s="65"/>
      <c r="V29" s="65" t="s">
        <v>173</v>
      </c>
      <c r="W29" s="65" t="s">
        <v>599</v>
      </c>
      <c r="X29" s="98" t="s">
        <v>1039</v>
      </c>
      <c r="Y29" s="98" t="s">
        <v>25</v>
      </c>
      <c r="Z29" s="65" t="s">
        <v>1573</v>
      </c>
      <c r="AA29" s="65" t="s">
        <v>189</v>
      </c>
      <c r="AB29" s="65"/>
      <c r="AC29" s="65"/>
      <c r="AD29" s="89">
        <v>1</v>
      </c>
      <c r="AE29" s="89">
        <v>1</v>
      </c>
      <c r="AF29" s="84"/>
      <c r="AG29" s="62" t="s">
        <v>133</v>
      </c>
      <c r="AH29" s="65" t="s">
        <v>819</v>
      </c>
    </row>
    <row r="30" spans="1:34" ht="99" customHeight="1" x14ac:dyDescent="0.2">
      <c r="A30" s="83">
        <v>28</v>
      </c>
      <c r="B30" s="66" t="s">
        <v>1531</v>
      </c>
      <c r="C30" s="67" t="s">
        <v>112</v>
      </c>
      <c r="D30" s="68">
        <v>46238</v>
      </c>
      <c r="E30" s="65" t="s">
        <v>1544</v>
      </c>
      <c r="F30" s="36" t="s">
        <v>1564</v>
      </c>
      <c r="G30" s="83" t="s">
        <v>1571</v>
      </c>
      <c r="H30" s="65" t="s">
        <v>168</v>
      </c>
      <c r="I30" s="65" t="s">
        <v>198</v>
      </c>
      <c r="J30" s="68">
        <v>46232</v>
      </c>
      <c r="K30" s="62" t="s">
        <v>2</v>
      </c>
      <c r="L30" s="62" t="s">
        <v>1572</v>
      </c>
      <c r="M30" s="65" t="s">
        <v>1687</v>
      </c>
      <c r="N30" s="65" t="s">
        <v>2</v>
      </c>
      <c r="O30" s="65" t="s">
        <v>1682</v>
      </c>
      <c r="P30" s="65" t="s">
        <v>196</v>
      </c>
      <c r="Q30" s="65" t="s">
        <v>196</v>
      </c>
      <c r="R30" s="65"/>
      <c r="S30" s="65"/>
      <c r="T30" s="65"/>
      <c r="U30" s="65"/>
      <c r="V30" s="65" t="s">
        <v>173</v>
      </c>
      <c r="W30" s="65" t="s">
        <v>599</v>
      </c>
      <c r="X30" s="98" t="s">
        <v>1039</v>
      </c>
      <c r="Y30" s="98" t="s">
        <v>25</v>
      </c>
      <c r="Z30" s="65" t="s">
        <v>1570</v>
      </c>
      <c r="AA30" s="65" t="s">
        <v>188</v>
      </c>
      <c r="AB30" s="65"/>
      <c r="AC30" s="65"/>
      <c r="AD30" s="89">
        <v>1</v>
      </c>
      <c r="AE30" s="89">
        <v>1</v>
      </c>
      <c r="AF30" s="84"/>
      <c r="AG30" s="62" t="s">
        <v>133</v>
      </c>
      <c r="AH30" s="65" t="s">
        <v>819</v>
      </c>
    </row>
    <row r="31" spans="1:34" ht="48.75" customHeight="1" x14ac:dyDescent="0.2">
      <c r="A31" s="83">
        <v>29</v>
      </c>
      <c r="B31" s="66" t="s">
        <v>1534</v>
      </c>
      <c r="C31" s="67" t="s">
        <v>112</v>
      </c>
      <c r="D31" s="68">
        <v>46238</v>
      </c>
      <c r="E31" s="65" t="s">
        <v>1548</v>
      </c>
      <c r="F31" s="36" t="s">
        <v>1564</v>
      </c>
      <c r="G31" s="83" t="s">
        <v>1557</v>
      </c>
      <c r="H31" s="65" t="s">
        <v>168</v>
      </c>
      <c r="I31" s="65" t="s">
        <v>198</v>
      </c>
      <c r="J31" s="68">
        <v>46232</v>
      </c>
      <c r="K31" s="62" t="s">
        <v>2</v>
      </c>
      <c r="L31" s="65" t="s">
        <v>1584</v>
      </c>
      <c r="M31" s="65" t="s">
        <v>1660</v>
      </c>
      <c r="N31" s="65" t="s">
        <v>196</v>
      </c>
      <c r="O31" s="65" t="s">
        <v>196</v>
      </c>
      <c r="P31" s="65" t="s">
        <v>196</v>
      </c>
      <c r="Q31" s="65" t="s">
        <v>196</v>
      </c>
      <c r="R31" s="65" t="s">
        <v>2</v>
      </c>
      <c r="S31" s="65" t="s">
        <v>1689</v>
      </c>
      <c r="T31" s="65"/>
      <c r="U31" s="65"/>
      <c r="V31" s="65" t="s">
        <v>173</v>
      </c>
      <c r="W31" s="65" t="s">
        <v>599</v>
      </c>
      <c r="X31" s="98" t="s">
        <v>166</v>
      </c>
      <c r="Y31" s="98" t="s">
        <v>32</v>
      </c>
      <c r="Z31" s="65" t="s">
        <v>1581</v>
      </c>
      <c r="AA31" s="65" t="s">
        <v>188</v>
      </c>
      <c r="AB31" s="65"/>
      <c r="AC31" s="65"/>
      <c r="AD31" s="89">
        <v>1</v>
      </c>
      <c r="AE31" s="89">
        <v>1</v>
      </c>
      <c r="AF31" s="84"/>
      <c r="AG31" s="62" t="s">
        <v>134</v>
      </c>
      <c r="AH31" s="65" t="s">
        <v>840</v>
      </c>
    </row>
    <row r="32" spans="1:34" ht="47.25" customHeight="1" x14ac:dyDescent="0.2">
      <c r="A32" s="83">
        <v>30</v>
      </c>
      <c r="B32" s="66" t="s">
        <v>1794</v>
      </c>
      <c r="C32" s="67" t="s">
        <v>112</v>
      </c>
      <c r="D32" s="68">
        <v>46245</v>
      </c>
      <c r="E32" s="65" t="s">
        <v>1661</v>
      </c>
      <c r="F32" s="36" t="s">
        <v>1379</v>
      </c>
      <c r="G32" s="83" t="s">
        <v>1626</v>
      </c>
      <c r="H32" s="65" t="s">
        <v>168</v>
      </c>
      <c r="I32" s="65" t="s">
        <v>198</v>
      </c>
      <c r="J32" s="68">
        <v>46245</v>
      </c>
      <c r="K32" s="62" t="s">
        <v>2</v>
      </c>
      <c r="L32" s="65" t="s">
        <v>1662</v>
      </c>
      <c r="M32" s="65" t="s">
        <v>1663</v>
      </c>
      <c r="N32" s="65" t="s">
        <v>2</v>
      </c>
      <c r="O32" s="65" t="s">
        <v>1681</v>
      </c>
      <c r="P32" s="65" t="s">
        <v>196</v>
      </c>
      <c r="Q32" s="65" t="s">
        <v>196</v>
      </c>
      <c r="R32" s="65"/>
      <c r="S32" s="65"/>
      <c r="T32" s="65"/>
      <c r="U32" s="65"/>
      <c r="V32" s="65" t="s">
        <v>173</v>
      </c>
      <c r="W32" s="65" t="s">
        <v>599</v>
      </c>
      <c r="X32" s="98" t="s">
        <v>1043</v>
      </c>
      <c r="Y32" s="98" t="s">
        <v>21</v>
      </c>
      <c r="Z32" s="65" t="s">
        <v>1625</v>
      </c>
      <c r="AA32" s="65" t="s">
        <v>189</v>
      </c>
      <c r="AB32" s="65"/>
      <c r="AC32" s="65"/>
      <c r="AD32" s="89">
        <v>1</v>
      </c>
      <c r="AE32" s="89">
        <v>1</v>
      </c>
      <c r="AF32" s="84"/>
      <c r="AG32" s="62" t="s">
        <v>134</v>
      </c>
      <c r="AH32" s="65" t="s">
        <v>840</v>
      </c>
    </row>
    <row r="33" spans="1:34" ht="40.5" customHeight="1" x14ac:dyDescent="0.2">
      <c r="A33" s="83">
        <v>31</v>
      </c>
      <c r="B33" s="66" t="s">
        <v>1795</v>
      </c>
      <c r="C33" s="67" t="s">
        <v>112</v>
      </c>
      <c r="D33" s="68">
        <v>46245</v>
      </c>
      <c r="E33" s="65" t="s">
        <v>1627</v>
      </c>
      <c r="F33" s="36" t="s">
        <v>1379</v>
      </c>
      <c r="G33" s="83" t="s">
        <v>1629</v>
      </c>
      <c r="H33" s="65" t="s">
        <v>168</v>
      </c>
      <c r="I33" s="65" t="s">
        <v>198</v>
      </c>
      <c r="J33" s="68">
        <v>46245</v>
      </c>
      <c r="K33" s="62" t="s">
        <v>2</v>
      </c>
      <c r="L33" s="65" t="s">
        <v>1664</v>
      </c>
      <c r="M33" s="65" t="s">
        <v>1665</v>
      </c>
      <c r="N33" s="65" t="s">
        <v>2</v>
      </c>
      <c r="O33" s="65" t="s">
        <v>1684</v>
      </c>
      <c r="P33" s="65" t="s">
        <v>196</v>
      </c>
      <c r="Q33" s="65" t="s">
        <v>196</v>
      </c>
      <c r="R33" s="65"/>
      <c r="S33" s="65"/>
      <c r="T33" s="65"/>
      <c r="U33" s="65"/>
      <c r="V33" s="65" t="s">
        <v>173</v>
      </c>
      <c r="W33" s="65" t="s">
        <v>599</v>
      </c>
      <c r="X33" s="98" t="s">
        <v>1039</v>
      </c>
      <c r="Y33" s="98" t="s">
        <v>80</v>
      </c>
      <c r="Z33" s="65" t="s">
        <v>1628</v>
      </c>
      <c r="AA33" s="65" t="s">
        <v>188</v>
      </c>
      <c r="AB33" s="65"/>
      <c r="AC33" s="65"/>
      <c r="AD33" s="89">
        <v>1</v>
      </c>
      <c r="AE33" s="89">
        <v>1</v>
      </c>
      <c r="AF33" s="84"/>
      <c r="AG33" s="62" t="s">
        <v>134</v>
      </c>
      <c r="AH33" s="65" t="s">
        <v>840</v>
      </c>
    </row>
    <row r="34" spans="1:34" ht="45.75" customHeight="1" x14ac:dyDescent="0.2">
      <c r="A34" s="83">
        <v>32</v>
      </c>
      <c r="B34" s="66" t="s">
        <v>1647</v>
      </c>
      <c r="C34" s="67" t="s">
        <v>112</v>
      </c>
      <c r="D34" s="68">
        <v>46246</v>
      </c>
      <c r="E34" s="65" t="s">
        <v>1650</v>
      </c>
      <c r="F34" s="36" t="s">
        <v>1379</v>
      </c>
      <c r="G34" s="83" t="s">
        <v>1652</v>
      </c>
      <c r="H34" s="65" t="s">
        <v>168</v>
      </c>
      <c r="I34" s="65" t="s">
        <v>198</v>
      </c>
      <c r="J34" s="68">
        <v>46246</v>
      </c>
      <c r="K34" s="62" t="s">
        <v>2</v>
      </c>
      <c r="L34" s="65" t="s">
        <v>1666</v>
      </c>
      <c r="M34" s="65" t="s">
        <v>1667</v>
      </c>
      <c r="N34" s="65" t="s">
        <v>196</v>
      </c>
      <c r="O34" s="65" t="s">
        <v>196</v>
      </c>
      <c r="P34" s="65" t="s">
        <v>196</v>
      </c>
      <c r="Q34" s="65" t="s">
        <v>196</v>
      </c>
      <c r="R34" s="65"/>
      <c r="S34" s="65"/>
      <c r="T34" s="65"/>
      <c r="U34" s="65"/>
      <c r="V34" s="65"/>
      <c r="W34" s="65"/>
      <c r="X34" s="98" t="s">
        <v>166</v>
      </c>
      <c r="Y34" s="98" t="s">
        <v>21</v>
      </c>
      <c r="Z34" s="65" t="s">
        <v>1651</v>
      </c>
      <c r="AA34" s="65"/>
      <c r="AB34" s="65"/>
      <c r="AC34" s="65"/>
      <c r="AD34" s="89"/>
      <c r="AE34" s="89"/>
      <c r="AF34" s="84"/>
      <c r="AG34" s="62" t="s">
        <v>134</v>
      </c>
      <c r="AH34" s="65" t="s">
        <v>840</v>
      </c>
    </row>
    <row r="35" spans="1:34" ht="58.5" customHeight="1" x14ac:dyDescent="0.2">
      <c r="A35" s="83">
        <v>33</v>
      </c>
      <c r="B35" s="66" t="s">
        <v>1648</v>
      </c>
      <c r="C35" s="67" t="s">
        <v>112</v>
      </c>
      <c r="D35" s="68">
        <v>46246</v>
      </c>
      <c r="E35" s="65" t="s">
        <v>1653</v>
      </c>
      <c r="F35" s="36" t="s">
        <v>1379</v>
      </c>
      <c r="G35" s="83" t="s">
        <v>1654</v>
      </c>
      <c r="H35" s="65" t="s">
        <v>168</v>
      </c>
      <c r="I35" s="65" t="s">
        <v>198</v>
      </c>
      <c r="J35" s="68">
        <v>46246</v>
      </c>
      <c r="K35" s="62" t="s">
        <v>2</v>
      </c>
      <c r="L35" s="65" t="s">
        <v>1668</v>
      </c>
      <c r="M35" s="65" t="s">
        <v>1669</v>
      </c>
      <c r="N35" s="65" t="s">
        <v>2</v>
      </c>
      <c r="O35" s="65" t="s">
        <v>1685</v>
      </c>
      <c r="P35" s="65" t="s">
        <v>2</v>
      </c>
      <c r="Q35" s="65" t="s">
        <v>1836</v>
      </c>
      <c r="R35" s="65" t="s">
        <v>196</v>
      </c>
      <c r="S35" s="65" t="s">
        <v>196</v>
      </c>
      <c r="T35" s="65" t="s">
        <v>196</v>
      </c>
      <c r="U35" s="65" t="s">
        <v>196</v>
      </c>
      <c r="V35" s="65"/>
      <c r="W35" s="65"/>
      <c r="X35" s="98" t="s">
        <v>165</v>
      </c>
      <c r="Y35" s="98" t="s">
        <v>59</v>
      </c>
      <c r="Z35" s="65"/>
      <c r="AA35" s="65"/>
      <c r="AB35" s="65"/>
      <c r="AC35" s="65"/>
      <c r="AD35" s="89"/>
      <c r="AE35" s="89"/>
      <c r="AF35" s="84"/>
      <c r="AG35" s="62"/>
      <c r="AH35" s="65"/>
    </row>
    <row r="36" spans="1:34" ht="48" customHeight="1" x14ac:dyDescent="0.2">
      <c r="A36" s="83">
        <v>34</v>
      </c>
      <c r="B36" s="66" t="s">
        <v>1731</v>
      </c>
      <c r="C36" s="67" t="s">
        <v>112</v>
      </c>
      <c r="D36" s="68">
        <v>46253</v>
      </c>
      <c r="E36" s="65" t="s">
        <v>1732</v>
      </c>
      <c r="F36" s="36" t="s">
        <v>1386</v>
      </c>
      <c r="G36" s="83" t="s">
        <v>1733</v>
      </c>
      <c r="H36" s="65" t="s">
        <v>140</v>
      </c>
      <c r="I36" s="65" t="s">
        <v>198</v>
      </c>
      <c r="J36" s="68">
        <v>46254</v>
      </c>
      <c r="K36" s="62" t="s">
        <v>2</v>
      </c>
      <c r="L36" s="65" t="s">
        <v>1734</v>
      </c>
      <c r="M36" s="65" t="s">
        <v>1735</v>
      </c>
      <c r="N36" s="65" t="s">
        <v>196</v>
      </c>
      <c r="O36" s="65" t="s">
        <v>196</v>
      </c>
      <c r="P36" s="65" t="s">
        <v>196</v>
      </c>
      <c r="Q36" s="65" t="s">
        <v>196</v>
      </c>
      <c r="R36" s="65" t="s">
        <v>196</v>
      </c>
      <c r="S36" s="65" t="s">
        <v>196</v>
      </c>
      <c r="T36" s="65" t="s">
        <v>196</v>
      </c>
      <c r="U36" s="65" t="s">
        <v>196</v>
      </c>
      <c r="V36" s="65" t="s">
        <v>173</v>
      </c>
      <c r="W36" s="65" t="s">
        <v>599</v>
      </c>
      <c r="X36" s="98" t="s">
        <v>166</v>
      </c>
      <c r="Y36" s="98" t="s">
        <v>88</v>
      </c>
      <c r="Z36" s="65"/>
      <c r="AA36" s="65" t="s">
        <v>188</v>
      </c>
      <c r="AB36" s="65"/>
      <c r="AC36" s="65"/>
      <c r="AD36" s="89">
        <v>1</v>
      </c>
      <c r="AE36" s="89"/>
      <c r="AF36" s="84"/>
      <c r="AG36" s="62" t="s">
        <v>134</v>
      </c>
      <c r="AH36" s="65" t="s">
        <v>840</v>
      </c>
    </row>
    <row r="37" spans="1:34" ht="57.75" customHeight="1" x14ac:dyDescent="0.2">
      <c r="A37" s="83">
        <v>35</v>
      </c>
      <c r="B37" s="66" t="s">
        <v>1727</v>
      </c>
      <c r="C37" s="67" t="s">
        <v>112</v>
      </c>
      <c r="D37" s="68">
        <v>46253</v>
      </c>
      <c r="E37" s="65" t="s">
        <v>1728</v>
      </c>
      <c r="F37" s="36" t="s">
        <v>1386</v>
      </c>
      <c r="G37" s="83" t="s">
        <v>1873</v>
      </c>
      <c r="H37" s="65" t="s">
        <v>140</v>
      </c>
      <c r="I37" s="65" t="s">
        <v>198</v>
      </c>
      <c r="J37" s="68">
        <v>46254</v>
      </c>
      <c r="K37" s="62" t="s">
        <v>2</v>
      </c>
      <c r="L37" s="65" t="s">
        <v>1729</v>
      </c>
      <c r="M37" s="65" t="s">
        <v>1730</v>
      </c>
      <c r="N37" s="65" t="s">
        <v>196</v>
      </c>
      <c r="O37" s="65" t="s">
        <v>196</v>
      </c>
      <c r="P37" s="65" t="s">
        <v>196</v>
      </c>
      <c r="Q37" s="65" t="s">
        <v>196</v>
      </c>
      <c r="R37" s="65" t="s">
        <v>196</v>
      </c>
      <c r="S37" s="65" t="s">
        <v>196</v>
      </c>
      <c r="T37" s="65" t="s">
        <v>196</v>
      </c>
      <c r="U37" s="65" t="s">
        <v>196</v>
      </c>
      <c r="V37" s="65" t="s">
        <v>173</v>
      </c>
      <c r="W37" s="65" t="s">
        <v>599</v>
      </c>
      <c r="X37" s="98" t="s">
        <v>1043</v>
      </c>
      <c r="Y37" s="98" t="s">
        <v>44</v>
      </c>
      <c r="Z37" s="65"/>
      <c r="AA37" s="65" t="s">
        <v>189</v>
      </c>
      <c r="AB37" s="65"/>
      <c r="AC37" s="65"/>
      <c r="AD37" s="89">
        <v>1</v>
      </c>
      <c r="AE37" s="89"/>
      <c r="AF37" s="84"/>
      <c r="AG37" s="62" t="s">
        <v>134</v>
      </c>
      <c r="AH37" s="65" t="s">
        <v>840</v>
      </c>
    </row>
    <row r="38" spans="1:34" ht="54.75" customHeight="1" x14ac:dyDescent="0.2">
      <c r="A38" s="83">
        <v>36</v>
      </c>
      <c r="B38" s="66" t="s">
        <v>1710</v>
      </c>
      <c r="C38" s="67" t="s">
        <v>112</v>
      </c>
      <c r="D38" s="68">
        <v>46253</v>
      </c>
      <c r="E38" s="65" t="s">
        <v>1711</v>
      </c>
      <c r="F38" s="36" t="s">
        <v>1386</v>
      </c>
      <c r="G38" s="83" t="s">
        <v>1712</v>
      </c>
      <c r="H38" s="65" t="s">
        <v>140</v>
      </c>
      <c r="I38" s="65" t="s">
        <v>198</v>
      </c>
      <c r="J38" s="68">
        <v>46254</v>
      </c>
      <c r="K38" s="62" t="s">
        <v>2</v>
      </c>
      <c r="L38" s="65" t="s">
        <v>1713</v>
      </c>
      <c r="M38" s="65" t="s">
        <v>1714</v>
      </c>
      <c r="N38" s="65" t="s">
        <v>196</v>
      </c>
      <c r="O38" s="65" t="s">
        <v>196</v>
      </c>
      <c r="P38" s="65" t="s">
        <v>196</v>
      </c>
      <c r="Q38" s="65" t="s">
        <v>196</v>
      </c>
      <c r="R38" s="65" t="s">
        <v>196</v>
      </c>
      <c r="S38" s="65" t="s">
        <v>196</v>
      </c>
      <c r="T38" s="65" t="s">
        <v>196</v>
      </c>
      <c r="U38" s="65" t="s">
        <v>196</v>
      </c>
      <c r="V38" s="65" t="s">
        <v>173</v>
      </c>
      <c r="W38" s="65" t="s">
        <v>599</v>
      </c>
      <c r="X38" s="98" t="s">
        <v>166</v>
      </c>
      <c r="Y38" s="98" t="s">
        <v>86</v>
      </c>
      <c r="Z38" s="65"/>
      <c r="AA38" s="65" t="s">
        <v>189</v>
      </c>
      <c r="AB38" s="65"/>
      <c r="AC38" s="65"/>
      <c r="AD38" s="89">
        <v>1</v>
      </c>
      <c r="AE38" s="89"/>
      <c r="AF38" s="84"/>
      <c r="AG38" s="62" t="s">
        <v>134</v>
      </c>
      <c r="AH38" s="65" t="s">
        <v>840</v>
      </c>
    </row>
    <row r="39" spans="1:34" ht="54.75" customHeight="1" x14ac:dyDescent="0.2">
      <c r="A39" s="83">
        <v>37</v>
      </c>
      <c r="B39" s="66" t="s">
        <v>1701</v>
      </c>
      <c r="C39" s="67" t="s">
        <v>112</v>
      </c>
      <c r="D39" s="68">
        <v>46253</v>
      </c>
      <c r="E39" s="65" t="s">
        <v>1702</v>
      </c>
      <c r="F39" s="36" t="s">
        <v>1379</v>
      </c>
      <c r="G39" s="83" t="s">
        <v>1703</v>
      </c>
      <c r="H39" s="65" t="s">
        <v>168</v>
      </c>
      <c r="I39" s="65" t="s">
        <v>198</v>
      </c>
      <c r="J39" s="68">
        <v>46254</v>
      </c>
      <c r="K39" s="62" t="s">
        <v>2</v>
      </c>
      <c r="L39" s="65" t="s">
        <v>1704</v>
      </c>
      <c r="M39" s="65" t="s">
        <v>1705</v>
      </c>
      <c r="N39" s="65" t="s">
        <v>196</v>
      </c>
      <c r="O39" s="65" t="s">
        <v>196</v>
      </c>
      <c r="P39" s="65" t="s">
        <v>196</v>
      </c>
      <c r="Q39" s="65" t="s">
        <v>196</v>
      </c>
      <c r="R39" s="65" t="s">
        <v>196</v>
      </c>
      <c r="S39" s="65" t="s">
        <v>196</v>
      </c>
      <c r="T39" s="65" t="s">
        <v>196</v>
      </c>
      <c r="U39" s="65" t="s">
        <v>196</v>
      </c>
      <c r="V39" s="65" t="s">
        <v>173</v>
      </c>
      <c r="W39" s="65" t="s">
        <v>599</v>
      </c>
      <c r="X39" s="98" t="s">
        <v>1049</v>
      </c>
      <c r="Y39" s="98" t="s">
        <v>55</v>
      </c>
      <c r="Z39" s="65"/>
      <c r="AA39" s="65" t="s">
        <v>188</v>
      </c>
      <c r="AB39" s="65"/>
      <c r="AC39" s="65"/>
      <c r="AD39" s="89">
        <v>1</v>
      </c>
      <c r="AE39" s="89"/>
      <c r="AF39" s="84"/>
      <c r="AG39" s="62" t="s">
        <v>132</v>
      </c>
      <c r="AH39" s="65" t="s">
        <v>822</v>
      </c>
    </row>
    <row r="40" spans="1:34" ht="62.25" customHeight="1" x14ac:dyDescent="0.2">
      <c r="A40" s="83">
        <v>38</v>
      </c>
      <c r="B40" s="66" t="s">
        <v>1715</v>
      </c>
      <c r="C40" s="67" t="s">
        <v>112</v>
      </c>
      <c r="D40" s="68">
        <v>46253</v>
      </c>
      <c r="E40" s="65" t="s">
        <v>1716</v>
      </c>
      <c r="F40" s="36" t="s">
        <v>1379</v>
      </c>
      <c r="G40" s="83" t="s">
        <v>1717</v>
      </c>
      <c r="H40" s="65" t="s">
        <v>168</v>
      </c>
      <c r="I40" s="65" t="s">
        <v>198</v>
      </c>
      <c r="J40" s="68">
        <v>46254</v>
      </c>
      <c r="K40" s="62" t="s">
        <v>2</v>
      </c>
      <c r="L40" s="65" t="s">
        <v>1718</v>
      </c>
      <c r="M40" s="65" t="s">
        <v>1719</v>
      </c>
      <c r="N40" s="65" t="s">
        <v>196</v>
      </c>
      <c r="O40" s="65" t="s">
        <v>196</v>
      </c>
      <c r="P40" s="65" t="s">
        <v>196</v>
      </c>
      <c r="Q40" s="65" t="s">
        <v>196</v>
      </c>
      <c r="R40" s="65" t="s">
        <v>196</v>
      </c>
      <c r="S40" s="65" t="s">
        <v>196</v>
      </c>
      <c r="T40" s="65" t="s">
        <v>196</v>
      </c>
      <c r="U40" s="65" t="s">
        <v>196</v>
      </c>
      <c r="V40" s="65" t="s">
        <v>173</v>
      </c>
      <c r="W40" s="65" t="s">
        <v>599</v>
      </c>
      <c r="X40" s="98" t="s">
        <v>165</v>
      </c>
      <c r="Y40" s="98" t="s">
        <v>55</v>
      </c>
      <c r="Z40" s="65"/>
      <c r="AA40" s="65" t="s">
        <v>189</v>
      </c>
      <c r="AB40" s="65"/>
      <c r="AC40" s="65"/>
      <c r="AD40" s="89">
        <v>1</v>
      </c>
      <c r="AE40" s="89"/>
      <c r="AF40" s="84"/>
      <c r="AG40" s="62" t="s">
        <v>132</v>
      </c>
      <c r="AH40" s="65" t="s">
        <v>822</v>
      </c>
    </row>
    <row r="41" spans="1:34" ht="62.25" customHeight="1" x14ac:dyDescent="0.2">
      <c r="A41" s="83">
        <v>39</v>
      </c>
      <c r="B41" s="66" t="s">
        <v>1720</v>
      </c>
      <c r="C41" s="67" t="s">
        <v>112</v>
      </c>
      <c r="D41" s="68">
        <v>46253</v>
      </c>
      <c r="E41" s="65" t="s">
        <v>1721</v>
      </c>
      <c r="F41" s="36" t="s">
        <v>1379</v>
      </c>
      <c r="G41" s="83" t="s">
        <v>1723</v>
      </c>
      <c r="H41" s="65" t="s">
        <v>168</v>
      </c>
      <c r="I41" s="65" t="s">
        <v>198</v>
      </c>
      <c r="J41" s="68">
        <v>46254</v>
      </c>
      <c r="K41" s="62" t="s">
        <v>2</v>
      </c>
      <c r="L41" s="65" t="s">
        <v>1724</v>
      </c>
      <c r="M41" s="65" t="s">
        <v>1725</v>
      </c>
      <c r="N41" s="65" t="s">
        <v>196</v>
      </c>
      <c r="O41" s="65" t="s">
        <v>196</v>
      </c>
      <c r="P41" s="65" t="s">
        <v>196</v>
      </c>
      <c r="Q41" s="65" t="s">
        <v>196</v>
      </c>
      <c r="R41" s="65" t="s">
        <v>2</v>
      </c>
      <c r="S41" s="65" t="s">
        <v>1726</v>
      </c>
      <c r="T41" s="65"/>
      <c r="U41" s="65"/>
      <c r="V41" s="65" t="s">
        <v>173</v>
      </c>
      <c r="W41" s="65" t="s">
        <v>599</v>
      </c>
      <c r="X41" s="98" t="s">
        <v>166</v>
      </c>
      <c r="Y41" s="98" t="s">
        <v>40</v>
      </c>
      <c r="Z41" s="65" t="s">
        <v>1722</v>
      </c>
      <c r="AA41" s="65" t="s">
        <v>189</v>
      </c>
      <c r="AB41" s="65"/>
      <c r="AC41" s="65"/>
      <c r="AD41" s="89">
        <v>1</v>
      </c>
      <c r="AE41" s="89"/>
      <c r="AF41" s="84"/>
      <c r="AG41" s="62" t="s">
        <v>134</v>
      </c>
      <c r="AH41" s="65" t="s">
        <v>840</v>
      </c>
    </row>
    <row r="42" spans="1:34" ht="69.75" customHeight="1" x14ac:dyDescent="0.2">
      <c r="A42" s="83">
        <v>40</v>
      </c>
      <c r="B42" s="66" t="s">
        <v>1797</v>
      </c>
      <c r="C42" s="67" t="s">
        <v>112</v>
      </c>
      <c r="D42" s="68">
        <v>46253</v>
      </c>
      <c r="E42" s="65" t="s">
        <v>1736</v>
      </c>
      <c r="F42" s="36" t="s">
        <v>1379</v>
      </c>
      <c r="G42" s="83" t="s">
        <v>1737</v>
      </c>
      <c r="H42" s="65" t="s">
        <v>229</v>
      </c>
      <c r="I42" s="65" t="s">
        <v>198</v>
      </c>
      <c r="J42" s="68">
        <v>46254</v>
      </c>
      <c r="K42" s="62" t="s">
        <v>2</v>
      </c>
      <c r="L42" s="65" t="s">
        <v>1738</v>
      </c>
      <c r="M42" s="65" t="s">
        <v>1739</v>
      </c>
      <c r="N42" s="83" t="s">
        <v>2</v>
      </c>
      <c r="O42" s="83" t="s">
        <v>1778</v>
      </c>
      <c r="P42" s="65" t="s">
        <v>196</v>
      </c>
      <c r="Q42" s="65" t="s">
        <v>196</v>
      </c>
      <c r="R42" s="65" t="s">
        <v>196</v>
      </c>
      <c r="S42" s="65" t="s">
        <v>196</v>
      </c>
      <c r="T42" s="65" t="s">
        <v>196</v>
      </c>
      <c r="U42" s="65" t="s">
        <v>196</v>
      </c>
      <c r="V42" s="65" t="s">
        <v>173</v>
      </c>
      <c r="W42" s="65" t="s">
        <v>599</v>
      </c>
      <c r="X42" s="65" t="s">
        <v>1740</v>
      </c>
      <c r="Y42" s="65" t="s">
        <v>75</v>
      </c>
      <c r="Z42" s="65"/>
      <c r="AA42" s="65" t="s">
        <v>188</v>
      </c>
      <c r="AB42" s="65"/>
      <c r="AC42" s="65"/>
      <c r="AD42" s="89">
        <v>1</v>
      </c>
      <c r="AE42" s="89"/>
      <c r="AF42" s="84"/>
      <c r="AG42" s="62" t="s">
        <v>134</v>
      </c>
      <c r="AH42" s="65" t="s">
        <v>840</v>
      </c>
    </row>
    <row r="43" spans="1:34" ht="54" customHeight="1" x14ac:dyDescent="0.2">
      <c r="A43" s="83">
        <v>41</v>
      </c>
      <c r="B43" s="66" t="s">
        <v>1799</v>
      </c>
      <c r="C43" s="67" t="s">
        <v>112</v>
      </c>
      <c r="D43" s="68">
        <v>46261</v>
      </c>
      <c r="E43" s="65" t="s">
        <v>1770</v>
      </c>
      <c r="F43" s="36" t="s">
        <v>1379</v>
      </c>
      <c r="G43" s="83" t="s">
        <v>1771</v>
      </c>
      <c r="H43" s="65" t="s">
        <v>168</v>
      </c>
      <c r="I43" s="65" t="s">
        <v>198</v>
      </c>
      <c r="J43" s="68">
        <v>46261</v>
      </c>
      <c r="K43" s="62" t="s">
        <v>2</v>
      </c>
      <c r="L43" s="65" t="s">
        <v>1782</v>
      </c>
      <c r="M43" s="65" t="s">
        <v>1820</v>
      </c>
      <c r="N43" s="83" t="s">
        <v>2</v>
      </c>
      <c r="O43" s="83" t="s">
        <v>1779</v>
      </c>
      <c r="P43" s="65"/>
      <c r="Q43" s="65"/>
      <c r="R43" s="65"/>
      <c r="S43" s="65"/>
      <c r="T43" s="65"/>
      <c r="U43" s="65"/>
      <c r="V43" s="65" t="s">
        <v>173</v>
      </c>
      <c r="W43" s="65" t="s">
        <v>599</v>
      </c>
      <c r="X43" s="98" t="s">
        <v>1043</v>
      </c>
      <c r="Y43" s="98" t="s">
        <v>44</v>
      </c>
      <c r="Z43" s="65" t="s">
        <v>1772</v>
      </c>
      <c r="AA43" s="65"/>
      <c r="AB43" s="65"/>
      <c r="AC43" s="65"/>
      <c r="AD43" s="89">
        <v>1</v>
      </c>
      <c r="AE43" s="89"/>
      <c r="AF43" s="84"/>
      <c r="AG43" s="62" t="s">
        <v>134</v>
      </c>
      <c r="AH43" s="65" t="s">
        <v>840</v>
      </c>
    </row>
    <row r="44" spans="1:34" ht="103.5" customHeight="1" x14ac:dyDescent="0.2">
      <c r="A44" s="83">
        <v>42</v>
      </c>
      <c r="B44" s="66" t="s">
        <v>1798</v>
      </c>
      <c r="C44" s="67" t="s">
        <v>112</v>
      </c>
      <c r="D44" s="68">
        <v>46260</v>
      </c>
      <c r="E44" s="65" t="s">
        <v>1753</v>
      </c>
      <c r="F44" s="36" t="s">
        <v>1379</v>
      </c>
      <c r="G44" s="83" t="s">
        <v>1755</v>
      </c>
      <c r="H44" s="65" t="s">
        <v>168</v>
      </c>
      <c r="I44" s="65" t="s">
        <v>198</v>
      </c>
      <c r="J44" s="68">
        <v>46260</v>
      </c>
      <c r="K44" s="62" t="s">
        <v>2</v>
      </c>
      <c r="L44" s="65" t="s">
        <v>1781</v>
      </c>
      <c r="M44" s="65" t="s">
        <v>1821</v>
      </c>
      <c r="N44" s="83" t="s">
        <v>2</v>
      </c>
      <c r="O44" s="83" t="s">
        <v>1780</v>
      </c>
      <c r="P44" s="65" t="s">
        <v>196</v>
      </c>
      <c r="Q44" s="65" t="s">
        <v>196</v>
      </c>
      <c r="R44" s="65" t="s">
        <v>196</v>
      </c>
      <c r="S44" s="65" t="s">
        <v>196</v>
      </c>
      <c r="T44" s="65" t="s">
        <v>196</v>
      </c>
      <c r="U44" s="65" t="s">
        <v>196</v>
      </c>
      <c r="V44" s="65" t="s">
        <v>173</v>
      </c>
      <c r="W44" s="65" t="s">
        <v>599</v>
      </c>
      <c r="X44" s="98" t="s">
        <v>1043</v>
      </c>
      <c r="Y44" s="98" t="s">
        <v>78</v>
      </c>
      <c r="Z44" s="65" t="s">
        <v>1754</v>
      </c>
      <c r="AA44" s="65" t="s">
        <v>189</v>
      </c>
      <c r="AB44" s="65"/>
      <c r="AC44" s="65"/>
      <c r="AD44" s="89">
        <v>1</v>
      </c>
      <c r="AE44" s="89"/>
      <c r="AF44" s="84"/>
      <c r="AG44" s="62" t="s">
        <v>134</v>
      </c>
      <c r="AH44" s="65" t="s">
        <v>840</v>
      </c>
    </row>
    <row r="45" spans="1:34" ht="54" customHeight="1" x14ac:dyDescent="0.2">
      <c r="A45" s="83">
        <v>43</v>
      </c>
      <c r="B45" s="66" t="s">
        <v>1756</v>
      </c>
      <c r="C45" s="67" t="s">
        <v>112</v>
      </c>
      <c r="D45" s="68">
        <v>46260</v>
      </c>
      <c r="E45" s="65" t="s">
        <v>1757</v>
      </c>
      <c r="F45" s="36" t="s">
        <v>1386</v>
      </c>
      <c r="G45" s="83" t="s">
        <v>1817</v>
      </c>
      <c r="H45" s="65" t="s">
        <v>140</v>
      </c>
      <c r="I45" s="65" t="s">
        <v>198</v>
      </c>
      <c r="J45" s="68">
        <v>46260</v>
      </c>
      <c r="K45" s="62" t="s">
        <v>2</v>
      </c>
      <c r="L45" s="65" t="s">
        <v>1818</v>
      </c>
      <c r="M45" s="65" t="s">
        <v>1819</v>
      </c>
      <c r="N45" s="65" t="s">
        <v>196</v>
      </c>
      <c r="O45" s="65" t="s">
        <v>196</v>
      </c>
      <c r="P45" s="65" t="s">
        <v>196</v>
      </c>
      <c r="Q45" s="65" t="s">
        <v>196</v>
      </c>
      <c r="R45" s="65" t="s">
        <v>196</v>
      </c>
      <c r="S45" s="65" t="s">
        <v>196</v>
      </c>
      <c r="T45" s="65" t="s">
        <v>196</v>
      </c>
      <c r="U45" s="65" t="s">
        <v>196</v>
      </c>
      <c r="V45" s="65" t="s">
        <v>175</v>
      </c>
      <c r="W45" s="65" t="s">
        <v>598</v>
      </c>
      <c r="X45" s="65" t="s">
        <v>1047</v>
      </c>
      <c r="Y45" s="65"/>
      <c r="Z45" s="65"/>
      <c r="AA45" s="65"/>
      <c r="AB45" s="65"/>
      <c r="AC45" s="65"/>
      <c r="AD45" s="89">
        <v>1</v>
      </c>
      <c r="AE45" s="89"/>
      <c r="AF45" s="84"/>
      <c r="AG45" s="65" t="s">
        <v>196</v>
      </c>
      <c r="AH45" s="65" t="s">
        <v>196</v>
      </c>
    </row>
    <row r="46" spans="1:34" ht="60" customHeight="1" x14ac:dyDescent="0.2">
      <c r="A46" s="83">
        <v>44</v>
      </c>
      <c r="B46" s="66" t="s">
        <v>1758</v>
      </c>
      <c r="C46" s="67" t="s">
        <v>112</v>
      </c>
      <c r="D46" s="68">
        <v>46260</v>
      </c>
      <c r="E46" s="65" t="s">
        <v>1759</v>
      </c>
      <c r="F46" s="36" t="s">
        <v>1386</v>
      </c>
      <c r="G46" s="83" t="s">
        <v>1761</v>
      </c>
      <c r="H46" s="65" t="s">
        <v>140</v>
      </c>
      <c r="I46" s="65" t="s">
        <v>198</v>
      </c>
      <c r="J46" s="68">
        <v>46260</v>
      </c>
      <c r="K46" s="62" t="s">
        <v>2</v>
      </c>
      <c r="L46" s="65" t="s">
        <v>1814</v>
      </c>
      <c r="M46" s="65" t="s">
        <v>1815</v>
      </c>
      <c r="N46" s="65" t="s">
        <v>196</v>
      </c>
      <c r="O46" s="65" t="s">
        <v>196</v>
      </c>
      <c r="P46" s="65" t="s">
        <v>196</v>
      </c>
      <c r="Q46" s="65" t="s">
        <v>196</v>
      </c>
      <c r="R46" s="65" t="s">
        <v>196</v>
      </c>
      <c r="S46" s="65" t="s">
        <v>196</v>
      </c>
      <c r="T46" s="65" t="s">
        <v>196</v>
      </c>
      <c r="U46" s="65" t="s">
        <v>196</v>
      </c>
      <c r="V46" s="65" t="s">
        <v>173</v>
      </c>
      <c r="W46" s="65" t="s">
        <v>599</v>
      </c>
      <c r="X46" s="98" t="s">
        <v>1043</v>
      </c>
      <c r="Y46" s="98" t="s">
        <v>78</v>
      </c>
      <c r="Z46" s="65" t="s">
        <v>1760</v>
      </c>
      <c r="AA46" s="65"/>
      <c r="AB46" s="65"/>
      <c r="AC46" s="65"/>
      <c r="AD46" s="89">
        <v>1</v>
      </c>
      <c r="AE46" s="89"/>
      <c r="AF46" s="84"/>
      <c r="AG46" s="62" t="s">
        <v>132</v>
      </c>
      <c r="AH46" s="65" t="s">
        <v>970</v>
      </c>
    </row>
    <row r="47" spans="1:34" ht="40.5" customHeight="1" x14ac:dyDescent="0.2">
      <c r="A47" s="83">
        <v>45</v>
      </c>
      <c r="B47" s="66" t="s">
        <v>199</v>
      </c>
      <c r="C47" s="67" t="s">
        <v>105</v>
      </c>
      <c r="D47" s="68">
        <v>46045</v>
      </c>
      <c r="E47" s="65" t="s">
        <v>283</v>
      </c>
      <c r="F47" s="36" t="s">
        <v>548</v>
      </c>
      <c r="G47" s="83" t="s">
        <v>201</v>
      </c>
      <c r="H47" s="65" t="s">
        <v>142</v>
      </c>
      <c r="I47" s="65" t="s">
        <v>202</v>
      </c>
      <c r="J47" s="68">
        <v>46048</v>
      </c>
      <c r="K47" s="62" t="s">
        <v>2</v>
      </c>
      <c r="L47" s="65" t="s">
        <v>815</v>
      </c>
      <c r="M47" s="65" t="s">
        <v>817</v>
      </c>
      <c r="N47" s="65" t="s">
        <v>2</v>
      </c>
      <c r="O47" s="65" t="s">
        <v>816</v>
      </c>
      <c r="P47" s="65" t="s">
        <v>3</v>
      </c>
      <c r="Q47" s="65" t="s">
        <v>196</v>
      </c>
      <c r="R47" s="65" t="s">
        <v>196</v>
      </c>
      <c r="S47" s="65" t="s">
        <v>196</v>
      </c>
      <c r="T47" s="65" t="s">
        <v>196</v>
      </c>
      <c r="U47" s="65" t="s">
        <v>196</v>
      </c>
      <c r="V47" s="65" t="s">
        <v>173</v>
      </c>
      <c r="W47" s="65" t="s">
        <v>599</v>
      </c>
      <c r="X47" s="98" t="s">
        <v>1043</v>
      </c>
      <c r="Y47" s="98" t="s">
        <v>54</v>
      </c>
      <c r="Z47" s="65" t="s">
        <v>200</v>
      </c>
      <c r="AA47" s="65" t="s">
        <v>189</v>
      </c>
      <c r="AB47" s="65" t="s">
        <v>284</v>
      </c>
      <c r="AC47" s="65" t="s">
        <v>549</v>
      </c>
      <c r="AD47" s="62">
        <v>1</v>
      </c>
      <c r="AE47" s="62">
        <f>AF47/4</f>
        <v>150</v>
      </c>
      <c r="AF47" s="69">
        <v>600</v>
      </c>
      <c r="AG47" s="62" t="s">
        <v>133</v>
      </c>
      <c r="AH47" s="65" t="s">
        <v>819</v>
      </c>
    </row>
    <row r="48" spans="1:34" ht="44.25" customHeight="1" x14ac:dyDescent="0.2">
      <c r="A48" s="83">
        <v>46</v>
      </c>
      <c r="B48" s="66" t="s">
        <v>230</v>
      </c>
      <c r="C48" s="67" t="s">
        <v>106</v>
      </c>
      <c r="D48" s="68">
        <v>46059</v>
      </c>
      <c r="E48" s="65" t="s">
        <v>292</v>
      </c>
      <c r="F48" s="36" t="s">
        <v>548</v>
      </c>
      <c r="G48" s="83" t="s">
        <v>231</v>
      </c>
      <c r="H48" s="65" t="s">
        <v>142</v>
      </c>
      <c r="I48" s="65" t="s">
        <v>198</v>
      </c>
      <c r="J48" s="68">
        <v>46059</v>
      </c>
      <c r="K48" s="62" t="s">
        <v>2</v>
      </c>
      <c r="L48" s="65" t="s">
        <v>832</v>
      </c>
      <c r="M48" s="65" t="s">
        <v>833</v>
      </c>
      <c r="N48" s="65" t="s">
        <v>3</v>
      </c>
      <c r="O48" s="65" t="s">
        <v>196</v>
      </c>
      <c r="P48" s="65" t="s">
        <v>196</v>
      </c>
      <c r="Q48" s="65" t="s">
        <v>196</v>
      </c>
      <c r="R48" s="65" t="s">
        <v>2</v>
      </c>
      <c r="S48" s="65" t="s">
        <v>834</v>
      </c>
      <c r="T48" s="65" t="s">
        <v>3</v>
      </c>
      <c r="U48" s="65" t="s">
        <v>196</v>
      </c>
      <c r="V48" s="65" t="s">
        <v>173</v>
      </c>
      <c r="W48" s="65" t="s">
        <v>599</v>
      </c>
      <c r="X48" s="98" t="s">
        <v>166</v>
      </c>
      <c r="Y48" s="98" t="s">
        <v>79</v>
      </c>
      <c r="Z48" s="65" t="s">
        <v>564</v>
      </c>
      <c r="AA48" s="65" t="s">
        <v>188</v>
      </c>
      <c r="AB48" s="65" t="s">
        <v>291</v>
      </c>
      <c r="AC48" s="65" t="s">
        <v>565</v>
      </c>
      <c r="AD48" s="62">
        <v>1</v>
      </c>
      <c r="AE48" s="62">
        <f>AF48/4</f>
        <v>71</v>
      </c>
      <c r="AF48" s="69">
        <v>284</v>
      </c>
      <c r="AG48" s="62" t="s">
        <v>132</v>
      </c>
      <c r="AH48" s="65" t="s">
        <v>835</v>
      </c>
    </row>
    <row r="49" spans="1:34" ht="59.25" customHeight="1" x14ac:dyDescent="0.2">
      <c r="A49" s="83">
        <v>47</v>
      </c>
      <c r="B49" s="66" t="s">
        <v>234</v>
      </c>
      <c r="C49" s="67" t="s">
        <v>106</v>
      </c>
      <c r="D49" s="68">
        <v>46059</v>
      </c>
      <c r="E49" s="65" t="s">
        <v>293</v>
      </c>
      <c r="F49" s="36" t="s">
        <v>548</v>
      </c>
      <c r="G49" s="83" t="s">
        <v>235</v>
      </c>
      <c r="H49" s="65" t="s">
        <v>142</v>
      </c>
      <c r="I49" s="65" t="s">
        <v>198</v>
      </c>
      <c r="J49" s="68">
        <v>46059</v>
      </c>
      <c r="K49" s="62" t="s">
        <v>2</v>
      </c>
      <c r="L49" s="65" t="s">
        <v>836</v>
      </c>
      <c r="M49" s="65" t="s">
        <v>838</v>
      </c>
      <c r="N49" s="65" t="s">
        <v>196</v>
      </c>
      <c r="O49" s="65" t="s">
        <v>196</v>
      </c>
      <c r="P49" s="65" t="s">
        <v>196</v>
      </c>
      <c r="Q49" s="65" t="s">
        <v>196</v>
      </c>
      <c r="R49" s="65" t="s">
        <v>2</v>
      </c>
      <c r="S49" s="65" t="s">
        <v>837</v>
      </c>
      <c r="T49" s="65" t="s">
        <v>3</v>
      </c>
      <c r="U49" s="65" t="s">
        <v>196</v>
      </c>
      <c r="V49" s="65" t="s">
        <v>173</v>
      </c>
      <c r="W49" s="65" t="s">
        <v>599</v>
      </c>
      <c r="X49" s="98" t="s">
        <v>166</v>
      </c>
      <c r="Y49" s="98" t="s">
        <v>90</v>
      </c>
      <c r="Z49" s="65" t="s">
        <v>236</v>
      </c>
      <c r="AA49" s="65" t="s">
        <v>189</v>
      </c>
      <c r="AB49" s="65" t="s">
        <v>294</v>
      </c>
      <c r="AC49" s="65" t="s">
        <v>567</v>
      </c>
      <c r="AD49" s="62">
        <v>1</v>
      </c>
      <c r="AE49" s="62">
        <f>AF49/4</f>
        <v>2</v>
      </c>
      <c r="AF49" s="69">
        <v>8</v>
      </c>
      <c r="AG49" s="62" t="s">
        <v>132</v>
      </c>
      <c r="AH49" s="65" t="s">
        <v>822</v>
      </c>
    </row>
    <row r="50" spans="1:34" ht="83.25" customHeight="1" x14ac:dyDescent="0.2">
      <c r="A50" s="83">
        <v>48</v>
      </c>
      <c r="B50" s="66" t="s">
        <v>263</v>
      </c>
      <c r="C50" s="67" t="s">
        <v>106</v>
      </c>
      <c r="D50" s="68">
        <v>46072</v>
      </c>
      <c r="E50" s="65" t="s">
        <v>264</v>
      </c>
      <c r="F50" s="36" t="s">
        <v>572</v>
      </c>
      <c r="G50" s="83" t="s">
        <v>265</v>
      </c>
      <c r="H50" s="65" t="s">
        <v>148</v>
      </c>
      <c r="I50" s="65" t="s">
        <v>202</v>
      </c>
      <c r="J50" s="68">
        <v>46072</v>
      </c>
      <c r="K50" s="62" t="s">
        <v>2</v>
      </c>
      <c r="L50" s="65" t="s">
        <v>196</v>
      </c>
      <c r="M50" s="65" t="s">
        <v>851</v>
      </c>
      <c r="N50" s="65" t="s">
        <v>196</v>
      </c>
      <c r="O50" s="65" t="s">
        <v>196</v>
      </c>
      <c r="P50" s="65" t="s">
        <v>196</v>
      </c>
      <c r="Q50" s="65" t="s">
        <v>196</v>
      </c>
      <c r="R50" s="65" t="s">
        <v>196</v>
      </c>
      <c r="S50" s="65" t="s">
        <v>196</v>
      </c>
      <c r="T50" s="65" t="s">
        <v>196</v>
      </c>
      <c r="U50" s="65" t="s">
        <v>196</v>
      </c>
      <c r="V50" s="65" t="s">
        <v>175</v>
      </c>
      <c r="W50" s="65" t="s">
        <v>598</v>
      </c>
      <c r="X50" s="65" t="s">
        <v>1047</v>
      </c>
      <c r="Y50" s="65"/>
      <c r="Z50" s="65"/>
      <c r="AA50" s="65" t="s">
        <v>188</v>
      </c>
      <c r="AB50" s="65" t="s">
        <v>573</v>
      </c>
      <c r="AC50" s="65"/>
      <c r="AD50" s="62">
        <v>1</v>
      </c>
      <c r="AE50" s="62">
        <v>1</v>
      </c>
      <c r="AF50" s="69">
        <v>0</v>
      </c>
      <c r="AG50" s="65" t="s">
        <v>196</v>
      </c>
      <c r="AH50" s="65" t="s">
        <v>196</v>
      </c>
    </row>
    <row r="51" spans="1:34" ht="69.75" customHeight="1" x14ac:dyDescent="0.2">
      <c r="A51" s="83">
        <v>49</v>
      </c>
      <c r="B51" s="66" t="s">
        <v>257</v>
      </c>
      <c r="C51" s="67" t="s">
        <v>106</v>
      </c>
      <c r="D51" s="68">
        <v>46070</v>
      </c>
      <c r="E51" s="65" t="s">
        <v>258</v>
      </c>
      <c r="F51" s="36" t="s">
        <v>571</v>
      </c>
      <c r="G51" s="83" t="s">
        <v>259</v>
      </c>
      <c r="H51" s="65" t="s">
        <v>4</v>
      </c>
      <c r="I51" s="65" t="s">
        <v>202</v>
      </c>
      <c r="J51" s="68">
        <v>46064</v>
      </c>
      <c r="K51" s="62" t="s">
        <v>2</v>
      </c>
      <c r="L51" s="65" t="s">
        <v>196</v>
      </c>
      <c r="M51" s="65" t="s">
        <v>850</v>
      </c>
      <c r="N51" s="65" t="s">
        <v>196</v>
      </c>
      <c r="O51" s="65" t="s">
        <v>196</v>
      </c>
      <c r="P51" s="65" t="s">
        <v>196</v>
      </c>
      <c r="Q51" s="65" t="s">
        <v>196</v>
      </c>
      <c r="R51" s="65" t="s">
        <v>196</v>
      </c>
      <c r="S51" s="65" t="s">
        <v>196</v>
      </c>
      <c r="T51" s="65" t="s">
        <v>196</v>
      </c>
      <c r="U51" s="65" t="s">
        <v>196</v>
      </c>
      <c r="V51" s="65" t="s">
        <v>175</v>
      </c>
      <c r="W51" s="65" t="s">
        <v>598</v>
      </c>
      <c r="X51" s="65" t="s">
        <v>1047</v>
      </c>
      <c r="Y51" s="65"/>
      <c r="Z51" s="65" t="s">
        <v>318</v>
      </c>
      <c r="AA51" s="65" t="s">
        <v>188</v>
      </c>
      <c r="AB51" s="65" t="s">
        <v>319</v>
      </c>
      <c r="AC51" s="65" t="s">
        <v>320</v>
      </c>
      <c r="AD51" s="62">
        <v>1</v>
      </c>
      <c r="AE51" s="62">
        <v>1</v>
      </c>
      <c r="AF51" s="69">
        <v>0</v>
      </c>
      <c r="AG51" s="65" t="s">
        <v>196</v>
      </c>
      <c r="AH51" s="65" t="s">
        <v>196</v>
      </c>
    </row>
    <row r="52" spans="1:34" ht="57.75" customHeight="1" x14ac:dyDescent="0.2">
      <c r="A52" s="83">
        <v>50</v>
      </c>
      <c r="B52" s="66" t="s">
        <v>247</v>
      </c>
      <c r="C52" s="67" t="s">
        <v>106</v>
      </c>
      <c r="D52" s="68">
        <v>46064</v>
      </c>
      <c r="E52" s="65" t="s">
        <v>296</v>
      </c>
      <c r="F52" s="36" t="s">
        <v>548</v>
      </c>
      <c r="G52" s="83" t="s">
        <v>248</v>
      </c>
      <c r="H52" s="65" t="s">
        <v>142</v>
      </c>
      <c r="I52" s="65" t="s">
        <v>198</v>
      </c>
      <c r="J52" s="68">
        <v>46064</v>
      </c>
      <c r="K52" s="62" t="s">
        <v>2</v>
      </c>
      <c r="L52" s="65" t="s">
        <v>843</v>
      </c>
      <c r="M52" s="65" t="s">
        <v>844</v>
      </c>
      <c r="N52" s="65" t="s">
        <v>196</v>
      </c>
      <c r="O52" s="65" t="s">
        <v>196</v>
      </c>
      <c r="P52" s="65" t="s">
        <v>196</v>
      </c>
      <c r="Q52" s="65" t="s">
        <v>196</v>
      </c>
      <c r="R52" s="65" t="s">
        <v>196</v>
      </c>
      <c r="S52" s="65" t="s">
        <v>196</v>
      </c>
      <c r="T52" s="65" t="s">
        <v>196</v>
      </c>
      <c r="U52" s="65" t="s">
        <v>196</v>
      </c>
      <c r="V52" s="65" t="s">
        <v>173</v>
      </c>
      <c r="W52" s="65" t="s">
        <v>599</v>
      </c>
      <c r="X52" s="98" t="s">
        <v>1040</v>
      </c>
      <c r="Y52" s="98" t="s">
        <v>80</v>
      </c>
      <c r="Z52" s="65" t="s">
        <v>249</v>
      </c>
      <c r="AA52" s="65" t="s">
        <v>188</v>
      </c>
      <c r="AB52" s="65" t="s">
        <v>295</v>
      </c>
      <c r="AC52" s="65" t="s">
        <v>568</v>
      </c>
      <c r="AD52" s="62">
        <v>1</v>
      </c>
      <c r="AE52" s="62">
        <f>AF52/4</f>
        <v>1</v>
      </c>
      <c r="AF52" s="69">
        <v>4</v>
      </c>
      <c r="AG52" s="62" t="s">
        <v>134</v>
      </c>
      <c r="AH52" s="65" t="s">
        <v>840</v>
      </c>
    </row>
    <row r="53" spans="1:34" ht="54" customHeight="1" x14ac:dyDescent="0.2">
      <c r="A53" s="83">
        <v>51</v>
      </c>
      <c r="B53" s="66" t="s">
        <v>305</v>
      </c>
      <c r="C53" s="67" t="s">
        <v>106</v>
      </c>
      <c r="D53" s="68">
        <v>46073</v>
      </c>
      <c r="E53" s="65" t="s">
        <v>358</v>
      </c>
      <c r="F53" s="36" t="s">
        <v>548</v>
      </c>
      <c r="G53" s="83" t="s">
        <v>313</v>
      </c>
      <c r="H53" s="65" t="s">
        <v>142</v>
      </c>
      <c r="I53" s="65" t="s">
        <v>198</v>
      </c>
      <c r="J53" s="68">
        <v>46078</v>
      </c>
      <c r="K53" s="62" t="s">
        <v>2</v>
      </c>
      <c r="L53" s="65" t="s">
        <v>856</v>
      </c>
      <c r="M53" s="65" t="s">
        <v>857</v>
      </c>
      <c r="N53" s="65" t="s">
        <v>3</v>
      </c>
      <c r="O53" s="65" t="s">
        <v>196</v>
      </c>
      <c r="P53" s="65" t="s">
        <v>196</v>
      </c>
      <c r="Q53" s="65" t="s">
        <v>196</v>
      </c>
      <c r="R53" s="65" t="s">
        <v>196</v>
      </c>
      <c r="S53" s="65" t="s">
        <v>196</v>
      </c>
      <c r="T53" s="65" t="s">
        <v>196</v>
      </c>
      <c r="U53" s="65" t="s">
        <v>196</v>
      </c>
      <c r="V53" s="65" t="s">
        <v>173</v>
      </c>
      <c r="W53" s="65" t="s">
        <v>599</v>
      </c>
      <c r="X53" s="98" t="s">
        <v>1039</v>
      </c>
      <c r="Y53" s="98" t="s">
        <v>19</v>
      </c>
      <c r="Z53" s="65" t="s">
        <v>360</v>
      </c>
      <c r="AA53" s="65" t="s">
        <v>189</v>
      </c>
      <c r="AB53" s="65">
        <v>7712387661</v>
      </c>
      <c r="AC53" s="65"/>
      <c r="AD53" s="62">
        <v>1</v>
      </c>
      <c r="AE53" s="62">
        <v>10</v>
      </c>
      <c r="AF53" s="69">
        <v>39</v>
      </c>
      <c r="AG53" s="62" t="s">
        <v>132</v>
      </c>
      <c r="AH53" s="65" t="s">
        <v>822</v>
      </c>
    </row>
    <row r="54" spans="1:34" ht="98.25" customHeight="1" x14ac:dyDescent="0.2">
      <c r="A54" s="83">
        <v>52</v>
      </c>
      <c r="B54" s="66" t="s">
        <v>306</v>
      </c>
      <c r="C54" s="67" t="s">
        <v>106</v>
      </c>
      <c r="D54" s="68">
        <v>46073</v>
      </c>
      <c r="E54" s="65" t="s">
        <v>359</v>
      </c>
      <c r="F54" s="36" t="s">
        <v>548</v>
      </c>
      <c r="G54" s="83" t="s">
        <v>314</v>
      </c>
      <c r="H54" s="65" t="s">
        <v>142</v>
      </c>
      <c r="I54" s="65" t="s">
        <v>198</v>
      </c>
      <c r="J54" s="68">
        <v>46078</v>
      </c>
      <c r="K54" s="62" t="s">
        <v>2</v>
      </c>
      <c r="L54" s="65" t="s">
        <v>858</v>
      </c>
      <c r="M54" s="65" t="s">
        <v>859</v>
      </c>
      <c r="N54" s="65" t="s">
        <v>3</v>
      </c>
      <c r="O54" s="65" t="s">
        <v>196</v>
      </c>
      <c r="P54" s="65" t="s">
        <v>196</v>
      </c>
      <c r="Q54" s="65" t="s">
        <v>196</v>
      </c>
      <c r="R54" s="65" t="s">
        <v>196</v>
      </c>
      <c r="S54" s="65" t="s">
        <v>196</v>
      </c>
      <c r="T54" s="65" t="s">
        <v>196</v>
      </c>
      <c r="U54" s="65" t="s">
        <v>196</v>
      </c>
      <c r="V54" s="65" t="s">
        <v>173</v>
      </c>
      <c r="W54" s="65" t="s">
        <v>599</v>
      </c>
      <c r="X54" s="98" t="s">
        <v>166</v>
      </c>
      <c r="Y54" s="98" t="s">
        <v>52</v>
      </c>
      <c r="Z54" s="65" t="s">
        <v>362</v>
      </c>
      <c r="AA54" s="65" t="s">
        <v>188</v>
      </c>
      <c r="AB54" s="65">
        <v>7717082142</v>
      </c>
      <c r="AC54" s="65" t="s">
        <v>577</v>
      </c>
      <c r="AD54" s="62">
        <v>1</v>
      </c>
      <c r="AE54" s="62">
        <f t="shared" ref="AE54:AE60" si="0">AF54/4</f>
        <v>50</v>
      </c>
      <c r="AF54" s="69">
        <v>200</v>
      </c>
      <c r="AG54" s="62" t="s">
        <v>132</v>
      </c>
      <c r="AH54" s="65" t="s">
        <v>822</v>
      </c>
    </row>
    <row r="55" spans="1:34" ht="72.75" customHeight="1" x14ac:dyDescent="0.2">
      <c r="A55" s="83">
        <v>53</v>
      </c>
      <c r="B55" s="66" t="s">
        <v>307</v>
      </c>
      <c r="C55" s="67" t="s">
        <v>106</v>
      </c>
      <c r="D55" s="68">
        <v>46073</v>
      </c>
      <c r="E55" s="65" t="s">
        <v>373</v>
      </c>
      <c r="F55" s="36" t="s">
        <v>548</v>
      </c>
      <c r="G55" s="83" t="s">
        <v>315</v>
      </c>
      <c r="H55" s="65" t="s">
        <v>142</v>
      </c>
      <c r="I55" s="65" t="s">
        <v>198</v>
      </c>
      <c r="J55" s="68">
        <v>46078</v>
      </c>
      <c r="K55" s="62" t="s">
        <v>2</v>
      </c>
      <c r="L55" s="65" t="s">
        <v>860</v>
      </c>
      <c r="M55" s="65" t="s">
        <v>861</v>
      </c>
      <c r="N55" s="65" t="s">
        <v>2</v>
      </c>
      <c r="O55" s="65" t="s">
        <v>1875</v>
      </c>
      <c r="P55" s="65" t="s">
        <v>3</v>
      </c>
      <c r="Q55" s="65" t="s">
        <v>196</v>
      </c>
      <c r="R55" s="65" t="s">
        <v>196</v>
      </c>
      <c r="S55" s="65" t="s">
        <v>196</v>
      </c>
      <c r="T55" s="65" t="s">
        <v>196</v>
      </c>
      <c r="U55" s="65" t="s">
        <v>196</v>
      </c>
      <c r="V55" s="65" t="s">
        <v>173</v>
      </c>
      <c r="W55" s="65" t="s">
        <v>599</v>
      </c>
      <c r="X55" s="98" t="s">
        <v>1039</v>
      </c>
      <c r="Y55" s="98" t="s">
        <v>18</v>
      </c>
      <c r="Z55" s="65" t="s">
        <v>374</v>
      </c>
      <c r="AA55" s="65" t="s">
        <v>189</v>
      </c>
      <c r="AB55" s="65">
        <v>7713439854</v>
      </c>
      <c r="AC55" s="65"/>
      <c r="AD55" s="62">
        <v>1</v>
      </c>
      <c r="AE55" s="62">
        <f t="shared" si="0"/>
        <v>5</v>
      </c>
      <c r="AF55" s="69">
        <v>20</v>
      </c>
      <c r="AG55" s="62" t="s">
        <v>134</v>
      </c>
      <c r="AH55" s="65" t="s">
        <v>840</v>
      </c>
    </row>
    <row r="56" spans="1:34" ht="59.25" customHeight="1" x14ac:dyDescent="0.2">
      <c r="A56" s="83">
        <v>54</v>
      </c>
      <c r="B56" s="66" t="s">
        <v>308</v>
      </c>
      <c r="C56" s="67" t="s">
        <v>106</v>
      </c>
      <c r="D56" s="68">
        <v>46073</v>
      </c>
      <c r="E56" s="65" t="s">
        <v>361</v>
      </c>
      <c r="F56" s="36" t="s">
        <v>548</v>
      </c>
      <c r="G56" s="83" t="s">
        <v>316</v>
      </c>
      <c r="H56" s="65" t="s">
        <v>142</v>
      </c>
      <c r="I56" s="65" t="s">
        <v>198</v>
      </c>
      <c r="J56" s="68">
        <v>46078</v>
      </c>
      <c r="K56" s="62" t="s">
        <v>2</v>
      </c>
      <c r="L56" s="65" t="s">
        <v>862</v>
      </c>
      <c r="M56" s="65" t="s">
        <v>863</v>
      </c>
      <c r="N56" s="65" t="s">
        <v>3</v>
      </c>
      <c r="O56" s="65" t="s">
        <v>196</v>
      </c>
      <c r="P56" s="65" t="s">
        <v>196</v>
      </c>
      <c r="Q56" s="65" t="s">
        <v>196</v>
      </c>
      <c r="R56" s="65" t="s">
        <v>196</v>
      </c>
      <c r="S56" s="65" t="s">
        <v>196</v>
      </c>
      <c r="T56" s="65" t="s">
        <v>196</v>
      </c>
      <c r="U56" s="65" t="s">
        <v>196</v>
      </c>
      <c r="V56" s="65" t="s">
        <v>173</v>
      </c>
      <c r="W56" s="65" t="s">
        <v>599</v>
      </c>
      <c r="X56" s="98" t="s">
        <v>166</v>
      </c>
      <c r="Y56" s="98" t="s">
        <v>52</v>
      </c>
      <c r="Z56" s="65" t="s">
        <v>363</v>
      </c>
      <c r="AA56" s="65" t="s">
        <v>188</v>
      </c>
      <c r="AB56" s="65">
        <v>7717082142</v>
      </c>
      <c r="AC56" s="65" t="s">
        <v>577</v>
      </c>
      <c r="AD56" s="62">
        <v>1</v>
      </c>
      <c r="AE56" s="62">
        <f t="shared" si="0"/>
        <v>50</v>
      </c>
      <c r="AF56" s="69">
        <v>200</v>
      </c>
      <c r="AG56" s="62" t="s">
        <v>132</v>
      </c>
      <c r="AH56" s="65" t="s">
        <v>822</v>
      </c>
    </row>
    <row r="57" spans="1:34" ht="46.5" customHeight="1" x14ac:dyDescent="0.2">
      <c r="A57" s="83">
        <v>55</v>
      </c>
      <c r="B57" s="66" t="s">
        <v>309</v>
      </c>
      <c r="C57" s="67" t="s">
        <v>106</v>
      </c>
      <c r="D57" s="68">
        <v>46076</v>
      </c>
      <c r="E57" s="65" t="s">
        <v>321</v>
      </c>
      <c r="F57" s="36" t="s">
        <v>548</v>
      </c>
      <c r="G57" s="83" t="s">
        <v>322</v>
      </c>
      <c r="H57" s="65" t="s">
        <v>142</v>
      </c>
      <c r="I57" s="65" t="s">
        <v>198</v>
      </c>
      <c r="J57" s="68">
        <v>46078</v>
      </c>
      <c r="K57" s="62" t="s">
        <v>2</v>
      </c>
      <c r="L57" s="65" t="s">
        <v>864</v>
      </c>
      <c r="M57" s="65" t="s">
        <v>865</v>
      </c>
      <c r="N57" s="65" t="s">
        <v>3</v>
      </c>
      <c r="O57" s="65" t="s">
        <v>196</v>
      </c>
      <c r="P57" s="65" t="s">
        <v>196</v>
      </c>
      <c r="Q57" s="65" t="s">
        <v>196</v>
      </c>
      <c r="R57" s="65" t="s">
        <v>196</v>
      </c>
      <c r="S57" s="65" t="s">
        <v>196</v>
      </c>
      <c r="T57" s="65" t="s">
        <v>196</v>
      </c>
      <c r="U57" s="65" t="s">
        <v>196</v>
      </c>
      <c r="V57" s="65" t="s">
        <v>173</v>
      </c>
      <c r="W57" s="65" t="s">
        <v>599</v>
      </c>
      <c r="X57" s="98" t="s">
        <v>166</v>
      </c>
      <c r="Y57" s="98" t="s">
        <v>52</v>
      </c>
      <c r="Z57" s="65" t="s">
        <v>323</v>
      </c>
      <c r="AA57" s="65" t="s">
        <v>189</v>
      </c>
      <c r="AB57" s="65">
        <v>7714240336</v>
      </c>
      <c r="AC57" s="65"/>
      <c r="AD57" s="62">
        <v>1</v>
      </c>
      <c r="AE57" s="62">
        <f t="shared" si="0"/>
        <v>72</v>
      </c>
      <c r="AF57" s="69">
        <v>288</v>
      </c>
      <c r="AG57" s="62" t="s">
        <v>132</v>
      </c>
      <c r="AH57" s="65" t="s">
        <v>822</v>
      </c>
    </row>
    <row r="58" spans="1:34" ht="61.5" customHeight="1" x14ac:dyDescent="0.2">
      <c r="A58" s="83">
        <v>56</v>
      </c>
      <c r="B58" s="66" t="s">
        <v>352</v>
      </c>
      <c r="C58" s="67" t="s">
        <v>106</v>
      </c>
      <c r="D58" s="68">
        <v>46080</v>
      </c>
      <c r="E58" s="65" t="s">
        <v>353</v>
      </c>
      <c r="F58" s="36" t="s">
        <v>548</v>
      </c>
      <c r="G58" s="83" t="s">
        <v>354</v>
      </c>
      <c r="H58" s="65" t="s">
        <v>142</v>
      </c>
      <c r="I58" s="65" t="s">
        <v>198</v>
      </c>
      <c r="J58" s="68">
        <v>46080</v>
      </c>
      <c r="K58" s="62" t="s">
        <v>2</v>
      </c>
      <c r="L58" s="65" t="s">
        <v>876</v>
      </c>
      <c r="M58" s="65" t="s">
        <v>877</v>
      </c>
      <c r="N58" s="65" t="s">
        <v>3</v>
      </c>
      <c r="O58" s="65" t="s">
        <v>196</v>
      </c>
      <c r="P58" s="65" t="s">
        <v>196</v>
      </c>
      <c r="Q58" s="65" t="s">
        <v>196</v>
      </c>
      <c r="R58" s="65" t="s">
        <v>196</v>
      </c>
      <c r="S58" s="65" t="s">
        <v>196</v>
      </c>
      <c r="T58" s="65" t="s">
        <v>196</v>
      </c>
      <c r="U58" s="65" t="s">
        <v>196</v>
      </c>
      <c r="V58" s="65" t="s">
        <v>173</v>
      </c>
      <c r="W58" s="65" t="s">
        <v>599</v>
      </c>
      <c r="X58" s="98" t="s">
        <v>1039</v>
      </c>
      <c r="Y58" s="98" t="s">
        <v>31</v>
      </c>
      <c r="Z58" s="65" t="s">
        <v>355</v>
      </c>
      <c r="AA58" s="65" t="s">
        <v>188</v>
      </c>
      <c r="AB58" s="65">
        <v>7712447808</v>
      </c>
      <c r="AC58" s="65"/>
      <c r="AD58" s="62">
        <v>1</v>
      </c>
      <c r="AE58" s="62">
        <f t="shared" si="0"/>
        <v>4</v>
      </c>
      <c r="AF58" s="69">
        <v>16</v>
      </c>
      <c r="AG58" s="62" t="s">
        <v>132</v>
      </c>
      <c r="AH58" s="65" t="s">
        <v>822</v>
      </c>
    </row>
    <row r="59" spans="1:34" ht="63.75" customHeight="1" x14ac:dyDescent="0.2">
      <c r="A59" s="83">
        <v>57</v>
      </c>
      <c r="B59" s="66" t="s">
        <v>347</v>
      </c>
      <c r="C59" s="67" t="s">
        <v>106</v>
      </c>
      <c r="D59" s="68">
        <v>46080</v>
      </c>
      <c r="E59" s="65" t="s">
        <v>348</v>
      </c>
      <c r="F59" s="36" t="s">
        <v>548</v>
      </c>
      <c r="G59" s="83" t="s">
        <v>349</v>
      </c>
      <c r="H59" s="65" t="s">
        <v>142</v>
      </c>
      <c r="I59" s="65" t="s">
        <v>198</v>
      </c>
      <c r="J59" s="68">
        <v>46080</v>
      </c>
      <c r="K59" s="62" t="s">
        <v>2</v>
      </c>
      <c r="L59" s="65" t="s">
        <v>873</v>
      </c>
      <c r="M59" s="65" t="s">
        <v>874</v>
      </c>
      <c r="N59" s="65" t="s">
        <v>2</v>
      </c>
      <c r="O59" s="65" t="s">
        <v>875</v>
      </c>
      <c r="P59" s="65" t="s">
        <v>2</v>
      </c>
      <c r="Q59" s="65" t="s">
        <v>514</v>
      </c>
      <c r="R59" s="65" t="s">
        <v>196</v>
      </c>
      <c r="S59" s="65" t="s">
        <v>196</v>
      </c>
      <c r="T59" s="65" t="s">
        <v>196</v>
      </c>
      <c r="U59" s="65" t="s">
        <v>196</v>
      </c>
      <c r="V59" s="65" t="s">
        <v>173</v>
      </c>
      <c r="W59" s="65" t="s">
        <v>599</v>
      </c>
      <c r="X59" s="98" t="s">
        <v>165</v>
      </c>
      <c r="Y59" s="98" t="s">
        <v>89</v>
      </c>
      <c r="Z59" s="65" t="s">
        <v>350</v>
      </c>
      <c r="AA59" s="65" t="s">
        <v>188</v>
      </c>
      <c r="AB59" s="65" t="s">
        <v>351</v>
      </c>
      <c r="AC59" s="65"/>
      <c r="AD59" s="62">
        <v>1</v>
      </c>
      <c r="AE59" s="62">
        <f t="shared" si="0"/>
        <v>1</v>
      </c>
      <c r="AF59" s="69">
        <v>4</v>
      </c>
      <c r="AG59" s="62" t="s">
        <v>132</v>
      </c>
      <c r="AH59" s="65" t="s">
        <v>822</v>
      </c>
    </row>
    <row r="60" spans="1:34" ht="66" customHeight="1" x14ac:dyDescent="0.2">
      <c r="A60" s="83">
        <v>58</v>
      </c>
      <c r="B60" s="66" t="s">
        <v>365</v>
      </c>
      <c r="C60" s="67" t="s">
        <v>107</v>
      </c>
      <c r="D60" s="68">
        <v>46083</v>
      </c>
      <c r="E60" s="65" t="s">
        <v>394</v>
      </c>
      <c r="F60" s="36" t="s">
        <v>548</v>
      </c>
      <c r="G60" s="83" t="s">
        <v>370</v>
      </c>
      <c r="H60" s="65" t="s">
        <v>142</v>
      </c>
      <c r="I60" s="65" t="s">
        <v>198</v>
      </c>
      <c r="J60" s="68">
        <v>46086</v>
      </c>
      <c r="K60" s="62" t="s">
        <v>2</v>
      </c>
      <c r="L60" s="65" t="s">
        <v>878</v>
      </c>
      <c r="M60" s="65" t="s">
        <v>879</v>
      </c>
      <c r="N60" s="65" t="s">
        <v>196</v>
      </c>
      <c r="O60" s="65" t="s">
        <v>196</v>
      </c>
      <c r="P60" s="65" t="s">
        <v>196</v>
      </c>
      <c r="Q60" s="65" t="s">
        <v>196</v>
      </c>
      <c r="R60" s="65" t="s">
        <v>196</v>
      </c>
      <c r="S60" s="65" t="s">
        <v>196</v>
      </c>
      <c r="T60" s="65" t="s">
        <v>196</v>
      </c>
      <c r="U60" s="65" t="s">
        <v>196</v>
      </c>
      <c r="V60" s="65" t="s">
        <v>173</v>
      </c>
      <c r="W60" s="65" t="s">
        <v>599</v>
      </c>
      <c r="X60" s="98" t="s">
        <v>1039</v>
      </c>
      <c r="Y60" s="98" t="s">
        <v>25</v>
      </c>
      <c r="Z60" s="65" t="s">
        <v>371</v>
      </c>
      <c r="AA60" s="65" t="s">
        <v>189</v>
      </c>
      <c r="AB60" s="65" t="s">
        <v>372</v>
      </c>
      <c r="AC60" s="65"/>
      <c r="AD60" s="62">
        <v>1</v>
      </c>
      <c r="AE60" s="62">
        <f t="shared" si="0"/>
        <v>4</v>
      </c>
      <c r="AF60" s="69">
        <v>16</v>
      </c>
      <c r="AG60" s="62" t="s">
        <v>133</v>
      </c>
      <c r="AH60" s="65" t="s">
        <v>819</v>
      </c>
    </row>
    <row r="61" spans="1:34" ht="51.75" customHeight="1" x14ac:dyDescent="0.2">
      <c r="A61" s="83">
        <v>59</v>
      </c>
      <c r="B61" s="66" t="s">
        <v>383</v>
      </c>
      <c r="C61" s="67" t="s">
        <v>107</v>
      </c>
      <c r="D61" s="68">
        <v>46085</v>
      </c>
      <c r="E61" s="65" t="s">
        <v>384</v>
      </c>
      <c r="F61" s="36" t="s">
        <v>548</v>
      </c>
      <c r="G61" s="83" t="s">
        <v>385</v>
      </c>
      <c r="H61" s="65" t="s">
        <v>142</v>
      </c>
      <c r="I61" s="65" t="s">
        <v>198</v>
      </c>
      <c r="J61" s="68">
        <v>46087</v>
      </c>
      <c r="K61" s="62" t="s">
        <v>2</v>
      </c>
      <c r="L61" s="65" t="s">
        <v>885</v>
      </c>
      <c r="M61" s="65" t="s">
        <v>887</v>
      </c>
      <c r="N61" s="65" t="s">
        <v>196</v>
      </c>
      <c r="O61" s="65" t="s">
        <v>196</v>
      </c>
      <c r="P61" s="65" t="s">
        <v>196</v>
      </c>
      <c r="Q61" s="65" t="s">
        <v>196</v>
      </c>
      <c r="R61" s="65" t="s">
        <v>2</v>
      </c>
      <c r="S61" s="65" t="s">
        <v>886</v>
      </c>
      <c r="T61" s="65" t="s">
        <v>3</v>
      </c>
      <c r="U61" s="65" t="s">
        <v>196</v>
      </c>
      <c r="V61" s="65" t="s">
        <v>173</v>
      </c>
      <c r="W61" s="65" t="s">
        <v>599</v>
      </c>
      <c r="X61" s="98" t="s">
        <v>166</v>
      </c>
      <c r="Y61" s="98" t="s">
        <v>52</v>
      </c>
      <c r="Z61" s="65" t="s">
        <v>386</v>
      </c>
      <c r="AA61" s="65" t="s">
        <v>188</v>
      </c>
      <c r="AB61" s="65">
        <v>7711879427</v>
      </c>
      <c r="AC61" s="65" t="s">
        <v>585</v>
      </c>
      <c r="AD61" s="62">
        <v>1</v>
      </c>
      <c r="AE61" s="62">
        <v>63</v>
      </c>
      <c r="AF61" s="69">
        <v>250</v>
      </c>
      <c r="AG61" s="62" t="s">
        <v>132</v>
      </c>
      <c r="AH61" s="65" t="s">
        <v>822</v>
      </c>
    </row>
    <row r="62" spans="1:34" ht="57.75" customHeight="1" x14ac:dyDescent="0.2">
      <c r="A62" s="83">
        <v>60</v>
      </c>
      <c r="B62" s="66" t="s">
        <v>379</v>
      </c>
      <c r="C62" s="67" t="s">
        <v>107</v>
      </c>
      <c r="D62" s="68">
        <v>46085</v>
      </c>
      <c r="E62" s="65" t="s">
        <v>480</v>
      </c>
      <c r="F62" s="36" t="s">
        <v>548</v>
      </c>
      <c r="G62" s="83" t="s">
        <v>380</v>
      </c>
      <c r="H62" s="65" t="s">
        <v>142</v>
      </c>
      <c r="I62" s="65" t="s">
        <v>198</v>
      </c>
      <c r="J62" s="68">
        <v>46087</v>
      </c>
      <c r="K62" s="62" t="s">
        <v>2</v>
      </c>
      <c r="L62" s="65" t="s">
        <v>880</v>
      </c>
      <c r="M62" s="65" t="s">
        <v>881</v>
      </c>
      <c r="N62" s="65" t="s">
        <v>196</v>
      </c>
      <c r="O62" s="65" t="s">
        <v>196</v>
      </c>
      <c r="P62" s="65" t="s">
        <v>196</v>
      </c>
      <c r="Q62" s="65" t="s">
        <v>196</v>
      </c>
      <c r="R62" s="65" t="s">
        <v>196</v>
      </c>
      <c r="S62" s="65" t="s">
        <v>196</v>
      </c>
      <c r="T62" s="65" t="s">
        <v>196</v>
      </c>
      <c r="U62" s="65" t="s">
        <v>196</v>
      </c>
      <c r="V62" s="65" t="s">
        <v>173</v>
      </c>
      <c r="W62" s="65" t="s">
        <v>599</v>
      </c>
      <c r="X62" s="98" t="s">
        <v>1040</v>
      </c>
      <c r="Y62" s="98" t="s">
        <v>42</v>
      </c>
      <c r="Z62" s="65" t="s">
        <v>582</v>
      </c>
      <c r="AA62" s="65" t="s">
        <v>189</v>
      </c>
      <c r="AB62" s="65">
        <v>7711966663</v>
      </c>
      <c r="AC62" s="65"/>
      <c r="AD62" s="62">
        <v>1</v>
      </c>
      <c r="AE62" s="62">
        <f>AF62/4</f>
        <v>10</v>
      </c>
      <c r="AF62" s="69">
        <v>40</v>
      </c>
      <c r="AG62" s="62" t="s">
        <v>134</v>
      </c>
      <c r="AH62" s="65" t="s">
        <v>840</v>
      </c>
    </row>
    <row r="63" spans="1:34" ht="55.5" customHeight="1" x14ac:dyDescent="0.2">
      <c r="A63" s="83">
        <v>61</v>
      </c>
      <c r="B63" s="66" t="s">
        <v>381</v>
      </c>
      <c r="C63" s="67" t="s">
        <v>107</v>
      </c>
      <c r="D63" s="68">
        <v>46085</v>
      </c>
      <c r="E63" s="65" t="s">
        <v>583</v>
      </c>
      <c r="F63" s="36" t="s">
        <v>548</v>
      </c>
      <c r="G63" s="83" t="s">
        <v>382</v>
      </c>
      <c r="H63" s="65" t="s">
        <v>142</v>
      </c>
      <c r="I63" s="65" t="s">
        <v>198</v>
      </c>
      <c r="J63" s="68">
        <v>46087</v>
      </c>
      <c r="K63" s="62" t="s">
        <v>2</v>
      </c>
      <c r="L63" s="65" t="s">
        <v>882</v>
      </c>
      <c r="M63" s="65" t="s">
        <v>883</v>
      </c>
      <c r="N63" s="65" t="s">
        <v>2</v>
      </c>
      <c r="O63" s="65" t="s">
        <v>884</v>
      </c>
      <c r="P63" s="65" t="s">
        <v>2</v>
      </c>
      <c r="Q63" s="65" t="s">
        <v>703</v>
      </c>
      <c r="R63" s="65" t="s">
        <v>196</v>
      </c>
      <c r="S63" s="65" t="s">
        <v>196</v>
      </c>
      <c r="T63" s="65" t="s">
        <v>196</v>
      </c>
      <c r="U63" s="65" t="s">
        <v>196</v>
      </c>
      <c r="V63" s="65" t="s">
        <v>173</v>
      </c>
      <c r="W63" s="65" t="s">
        <v>599</v>
      </c>
      <c r="X63" s="98" t="s">
        <v>1039</v>
      </c>
      <c r="Y63" s="98" t="s">
        <v>21</v>
      </c>
      <c r="Z63" s="65" t="s">
        <v>387</v>
      </c>
      <c r="AA63" s="65" t="s">
        <v>188</v>
      </c>
      <c r="AB63" s="65">
        <v>7711126790</v>
      </c>
      <c r="AC63" s="65" t="s">
        <v>584</v>
      </c>
      <c r="AD63" s="62">
        <v>1</v>
      </c>
      <c r="AE63" s="62">
        <f>AF63/4</f>
        <v>19</v>
      </c>
      <c r="AF63" s="69">
        <v>76</v>
      </c>
      <c r="AG63" s="62" t="s">
        <v>134</v>
      </c>
      <c r="AH63" s="65" t="s">
        <v>840</v>
      </c>
    </row>
    <row r="64" spans="1:34" ht="75" customHeight="1" x14ac:dyDescent="0.2">
      <c r="A64" s="83">
        <v>62</v>
      </c>
      <c r="B64" s="66" t="s">
        <v>412</v>
      </c>
      <c r="C64" s="67" t="s">
        <v>107</v>
      </c>
      <c r="D64" s="68">
        <v>46092</v>
      </c>
      <c r="E64" s="65" t="s">
        <v>413</v>
      </c>
      <c r="F64" s="36" t="s">
        <v>465</v>
      </c>
      <c r="G64" s="83" t="s">
        <v>414</v>
      </c>
      <c r="H64" s="65" t="s">
        <v>140</v>
      </c>
      <c r="I64" s="65" t="s">
        <v>198</v>
      </c>
      <c r="J64" s="68">
        <v>46094</v>
      </c>
      <c r="K64" s="62" t="s">
        <v>2</v>
      </c>
      <c r="L64" s="65" t="s">
        <v>903</v>
      </c>
      <c r="M64" s="65" t="s">
        <v>904</v>
      </c>
      <c r="N64" s="65" t="s">
        <v>196</v>
      </c>
      <c r="O64" s="65" t="s">
        <v>196</v>
      </c>
      <c r="P64" s="65" t="s">
        <v>196</v>
      </c>
      <c r="Q64" s="65" t="s">
        <v>196</v>
      </c>
      <c r="R64" s="65" t="s">
        <v>196</v>
      </c>
      <c r="S64" s="65" t="s">
        <v>196</v>
      </c>
      <c r="T64" s="65" t="s">
        <v>196</v>
      </c>
      <c r="U64" s="65" t="s">
        <v>196</v>
      </c>
      <c r="V64" s="65" t="s">
        <v>175</v>
      </c>
      <c r="W64" s="65" t="s">
        <v>598</v>
      </c>
      <c r="X64" s="65" t="s">
        <v>1047</v>
      </c>
      <c r="Y64" s="65"/>
      <c r="Z64" s="65"/>
      <c r="AA64" s="65" t="s">
        <v>188</v>
      </c>
      <c r="AB64" s="65" t="s">
        <v>282</v>
      </c>
      <c r="AC64" s="65"/>
      <c r="AD64" s="62">
        <v>1</v>
      </c>
      <c r="AE64" s="62">
        <v>1</v>
      </c>
      <c r="AF64" s="69">
        <v>0</v>
      </c>
      <c r="AG64" s="65" t="s">
        <v>196</v>
      </c>
      <c r="AH64" s="65" t="s">
        <v>196</v>
      </c>
    </row>
    <row r="65" spans="1:34" ht="78.75" customHeight="1" x14ac:dyDescent="0.2">
      <c r="A65" s="83">
        <v>63</v>
      </c>
      <c r="B65" s="66" t="s">
        <v>338</v>
      </c>
      <c r="C65" s="67" t="s">
        <v>106</v>
      </c>
      <c r="D65" s="68">
        <v>46079</v>
      </c>
      <c r="E65" s="65" t="s">
        <v>339</v>
      </c>
      <c r="F65" s="36" t="s">
        <v>469</v>
      </c>
      <c r="G65" s="83" t="s">
        <v>340</v>
      </c>
      <c r="H65" s="65" t="s">
        <v>140</v>
      </c>
      <c r="I65" s="65" t="s">
        <v>198</v>
      </c>
      <c r="J65" s="68">
        <v>46079</v>
      </c>
      <c r="K65" s="62" t="s">
        <v>2</v>
      </c>
      <c r="L65" s="65" t="s">
        <v>868</v>
      </c>
      <c r="M65" s="65" t="s">
        <v>869</v>
      </c>
      <c r="N65" s="65" t="s">
        <v>3</v>
      </c>
      <c r="O65" s="65" t="s">
        <v>196</v>
      </c>
      <c r="P65" s="65" t="s">
        <v>196</v>
      </c>
      <c r="Q65" s="65" t="s">
        <v>196</v>
      </c>
      <c r="R65" s="65" t="s">
        <v>196</v>
      </c>
      <c r="S65" s="65" t="s">
        <v>196</v>
      </c>
      <c r="T65" s="65" t="s">
        <v>196</v>
      </c>
      <c r="U65" s="65" t="s">
        <v>196</v>
      </c>
      <c r="V65" s="65" t="s">
        <v>176</v>
      </c>
      <c r="W65" s="65" t="s">
        <v>852</v>
      </c>
      <c r="X65" s="65" t="s">
        <v>1048</v>
      </c>
      <c r="Y65" s="65"/>
      <c r="Z65" s="65"/>
      <c r="AA65" s="65"/>
      <c r="AB65" s="65"/>
      <c r="AC65" s="70"/>
      <c r="AD65" s="62">
        <v>0</v>
      </c>
      <c r="AE65" s="62">
        <f t="shared" ref="AE65:AE70" si="1">AF65/4</f>
        <v>0</v>
      </c>
      <c r="AF65" s="69">
        <v>0</v>
      </c>
      <c r="AG65" s="65" t="s">
        <v>196</v>
      </c>
      <c r="AH65" s="65" t="s">
        <v>196</v>
      </c>
    </row>
    <row r="66" spans="1:34" ht="58.5" customHeight="1" x14ac:dyDescent="0.2">
      <c r="A66" s="83">
        <v>64</v>
      </c>
      <c r="B66" s="66" t="s">
        <v>392</v>
      </c>
      <c r="C66" s="67" t="s">
        <v>107</v>
      </c>
      <c r="D66" s="68">
        <v>46086</v>
      </c>
      <c r="E66" s="65" t="s">
        <v>586</v>
      </c>
      <c r="F66" s="36" t="s">
        <v>548</v>
      </c>
      <c r="G66" s="83" t="s">
        <v>393</v>
      </c>
      <c r="H66" s="65" t="s">
        <v>142</v>
      </c>
      <c r="I66" s="65" t="s">
        <v>198</v>
      </c>
      <c r="J66" s="68">
        <v>46091</v>
      </c>
      <c r="K66" s="62" t="s">
        <v>2</v>
      </c>
      <c r="L66" s="65" t="s">
        <v>890</v>
      </c>
      <c r="M66" s="65" t="s">
        <v>891</v>
      </c>
      <c r="N66" s="65" t="s">
        <v>3</v>
      </c>
      <c r="O66" s="65" t="s">
        <v>196</v>
      </c>
      <c r="P66" s="65" t="s">
        <v>196</v>
      </c>
      <c r="Q66" s="65" t="s">
        <v>196</v>
      </c>
      <c r="R66" s="65" t="s">
        <v>196</v>
      </c>
      <c r="S66" s="65" t="s">
        <v>196</v>
      </c>
      <c r="T66" s="65" t="s">
        <v>196</v>
      </c>
      <c r="U66" s="65" t="s">
        <v>196</v>
      </c>
      <c r="V66" s="65" t="s">
        <v>179</v>
      </c>
      <c r="W66" s="65" t="s">
        <v>598</v>
      </c>
      <c r="X66" s="98" t="s">
        <v>166</v>
      </c>
      <c r="Y66" s="98" t="s">
        <v>42</v>
      </c>
      <c r="Z66" s="65" t="s">
        <v>318</v>
      </c>
      <c r="AA66" s="65" t="s">
        <v>188</v>
      </c>
      <c r="AB66" s="65">
        <v>7751502897</v>
      </c>
      <c r="AC66" s="65" t="s">
        <v>587</v>
      </c>
      <c r="AD66" s="62">
        <v>1</v>
      </c>
      <c r="AE66" s="62">
        <f t="shared" si="1"/>
        <v>400</v>
      </c>
      <c r="AF66" s="69">
        <v>1600</v>
      </c>
      <c r="AG66" s="62" t="s">
        <v>134</v>
      </c>
      <c r="AH66" s="65" t="s">
        <v>840</v>
      </c>
    </row>
    <row r="67" spans="1:34" ht="62.25" customHeight="1" x14ac:dyDescent="0.2">
      <c r="A67" s="83">
        <v>65</v>
      </c>
      <c r="B67" s="66" t="s">
        <v>388</v>
      </c>
      <c r="C67" s="67" t="s">
        <v>107</v>
      </c>
      <c r="D67" s="68">
        <v>46086</v>
      </c>
      <c r="E67" s="65" t="s">
        <v>389</v>
      </c>
      <c r="F67" s="36" t="s">
        <v>548</v>
      </c>
      <c r="G67" s="83" t="s">
        <v>390</v>
      </c>
      <c r="H67" s="65" t="s">
        <v>142</v>
      </c>
      <c r="I67" s="65" t="s">
        <v>198</v>
      </c>
      <c r="J67" s="68">
        <v>46091</v>
      </c>
      <c r="K67" s="62" t="s">
        <v>2</v>
      </c>
      <c r="L67" s="65" t="s">
        <v>888</v>
      </c>
      <c r="M67" s="120" t="s">
        <v>889</v>
      </c>
      <c r="N67" s="65" t="s">
        <v>2</v>
      </c>
      <c r="O67" s="65" t="s">
        <v>1875</v>
      </c>
      <c r="P67" s="65" t="s">
        <v>3</v>
      </c>
      <c r="Q67" s="65" t="s">
        <v>196</v>
      </c>
      <c r="R67" s="65" t="s">
        <v>196</v>
      </c>
      <c r="S67" s="65" t="s">
        <v>196</v>
      </c>
      <c r="T67" s="65" t="s">
        <v>196</v>
      </c>
      <c r="U67" s="65" t="s">
        <v>196</v>
      </c>
      <c r="V67" s="65" t="s">
        <v>173</v>
      </c>
      <c r="W67" s="65" t="s">
        <v>599</v>
      </c>
      <c r="X67" s="98" t="s">
        <v>1039</v>
      </c>
      <c r="Y67" s="98" t="s">
        <v>11</v>
      </c>
      <c r="Z67" s="65" t="s">
        <v>391</v>
      </c>
      <c r="AA67" s="65" t="s">
        <v>189</v>
      </c>
      <c r="AB67" s="65">
        <v>7751099841</v>
      </c>
      <c r="AC67" s="65"/>
      <c r="AD67" s="62">
        <v>1</v>
      </c>
      <c r="AE67" s="62">
        <f t="shared" si="1"/>
        <v>1</v>
      </c>
      <c r="AF67" s="69">
        <v>4</v>
      </c>
      <c r="AG67" s="62" t="s">
        <v>134</v>
      </c>
      <c r="AH67" s="65" t="s">
        <v>840</v>
      </c>
    </row>
    <row r="68" spans="1:34" ht="51" customHeight="1" x14ac:dyDescent="0.2">
      <c r="A68" s="83">
        <v>66</v>
      </c>
      <c r="B68" s="66" t="s">
        <v>395</v>
      </c>
      <c r="C68" s="67" t="s">
        <v>107</v>
      </c>
      <c r="D68" s="68">
        <v>46086</v>
      </c>
      <c r="E68" s="65" t="s">
        <v>396</v>
      </c>
      <c r="F68" s="36" t="s">
        <v>548</v>
      </c>
      <c r="G68" s="83" t="s">
        <v>397</v>
      </c>
      <c r="H68" s="65" t="s">
        <v>142</v>
      </c>
      <c r="I68" s="65" t="s">
        <v>198</v>
      </c>
      <c r="J68" s="68">
        <v>46091</v>
      </c>
      <c r="K68" s="62" t="s">
        <v>2</v>
      </c>
      <c r="L68" s="65" t="s">
        <v>894</v>
      </c>
      <c r="M68" s="65" t="s">
        <v>895</v>
      </c>
      <c r="N68" s="65" t="s">
        <v>3</v>
      </c>
      <c r="O68" s="65" t="s">
        <v>196</v>
      </c>
      <c r="P68" s="65" t="s">
        <v>196</v>
      </c>
      <c r="Q68" s="65" t="s">
        <v>196</v>
      </c>
      <c r="R68" s="65" t="s">
        <v>2</v>
      </c>
      <c r="S68" s="65" t="s">
        <v>1079</v>
      </c>
      <c r="T68" s="65" t="s">
        <v>196</v>
      </c>
      <c r="U68" s="65" t="s">
        <v>196</v>
      </c>
      <c r="V68" s="65" t="s">
        <v>173</v>
      </c>
      <c r="W68" s="65" t="s">
        <v>599</v>
      </c>
      <c r="X68" s="98" t="s">
        <v>1039</v>
      </c>
      <c r="Y68" s="98" t="s">
        <v>63</v>
      </c>
      <c r="Z68" s="65" t="s">
        <v>405</v>
      </c>
      <c r="AA68" s="65" t="s">
        <v>188</v>
      </c>
      <c r="AB68" s="65">
        <v>7752244625</v>
      </c>
      <c r="AC68" s="65" t="s">
        <v>588</v>
      </c>
      <c r="AD68" s="62">
        <v>1</v>
      </c>
      <c r="AE68" s="62">
        <f t="shared" si="1"/>
        <v>33</v>
      </c>
      <c r="AF68" s="69">
        <v>132</v>
      </c>
      <c r="AG68" s="62" t="s">
        <v>132</v>
      </c>
      <c r="AH68" s="65" t="s">
        <v>835</v>
      </c>
    </row>
    <row r="69" spans="1:34" ht="55.5" customHeight="1" x14ac:dyDescent="0.2">
      <c r="A69" s="83">
        <v>67</v>
      </c>
      <c r="B69" s="66" t="s">
        <v>409</v>
      </c>
      <c r="C69" s="67" t="s">
        <v>107</v>
      </c>
      <c r="D69" s="68">
        <v>46092</v>
      </c>
      <c r="E69" s="65" t="s">
        <v>410</v>
      </c>
      <c r="F69" s="36" t="s">
        <v>548</v>
      </c>
      <c r="G69" s="83" t="s">
        <v>411</v>
      </c>
      <c r="H69" s="65" t="s">
        <v>142</v>
      </c>
      <c r="I69" s="65" t="s">
        <v>198</v>
      </c>
      <c r="J69" s="68">
        <v>46094</v>
      </c>
      <c r="K69" s="62" t="s">
        <v>2</v>
      </c>
      <c r="L69" s="65" t="s">
        <v>901</v>
      </c>
      <c r="M69" s="65" t="s">
        <v>902</v>
      </c>
      <c r="N69" s="65" t="s">
        <v>3</v>
      </c>
      <c r="O69" s="65" t="s">
        <v>196</v>
      </c>
      <c r="P69" s="65" t="s">
        <v>196</v>
      </c>
      <c r="Q69" s="65" t="s">
        <v>196</v>
      </c>
      <c r="R69" s="65" t="s">
        <v>196</v>
      </c>
      <c r="S69" s="65" t="s">
        <v>196</v>
      </c>
      <c r="T69" s="65" t="s">
        <v>196</v>
      </c>
      <c r="U69" s="65" t="s">
        <v>196</v>
      </c>
      <c r="V69" s="65" t="s">
        <v>173</v>
      </c>
      <c r="W69" s="65" t="s">
        <v>599</v>
      </c>
      <c r="X69" s="98" t="s">
        <v>166</v>
      </c>
      <c r="Y69" s="98" t="s">
        <v>16</v>
      </c>
      <c r="Z69" s="65" t="s">
        <v>408</v>
      </c>
      <c r="AA69" s="65" t="s">
        <v>188</v>
      </c>
      <c r="AB69" s="65">
        <v>6131161333</v>
      </c>
      <c r="AC69" s="65"/>
      <c r="AD69" s="62">
        <v>1</v>
      </c>
      <c r="AE69" s="62">
        <f t="shared" si="1"/>
        <v>46</v>
      </c>
      <c r="AF69" s="69">
        <v>184</v>
      </c>
      <c r="AG69" s="62" t="s">
        <v>132</v>
      </c>
      <c r="AH69" s="65" t="s">
        <v>822</v>
      </c>
    </row>
    <row r="70" spans="1:34" ht="61.5" customHeight="1" x14ac:dyDescent="0.2">
      <c r="A70" s="83">
        <v>68</v>
      </c>
      <c r="B70" s="66" t="s">
        <v>400</v>
      </c>
      <c r="C70" s="67" t="s">
        <v>107</v>
      </c>
      <c r="D70" s="68">
        <v>46092</v>
      </c>
      <c r="E70" s="65" t="s">
        <v>401</v>
      </c>
      <c r="F70" s="36" t="s">
        <v>548</v>
      </c>
      <c r="G70" s="83" t="s">
        <v>402</v>
      </c>
      <c r="H70" s="65" t="s">
        <v>142</v>
      </c>
      <c r="I70" s="65" t="s">
        <v>198</v>
      </c>
      <c r="J70" s="68">
        <v>46094</v>
      </c>
      <c r="K70" s="62" t="s">
        <v>2</v>
      </c>
      <c r="L70" s="65" t="s">
        <v>897</v>
      </c>
      <c r="M70" s="65" t="s">
        <v>898</v>
      </c>
      <c r="N70" s="65" t="s">
        <v>3</v>
      </c>
      <c r="O70" s="65" t="s">
        <v>196</v>
      </c>
      <c r="P70" s="65" t="s">
        <v>196</v>
      </c>
      <c r="Q70" s="65" t="s">
        <v>196</v>
      </c>
      <c r="R70" s="65" t="s">
        <v>196</v>
      </c>
      <c r="S70" s="65" t="s">
        <v>196</v>
      </c>
      <c r="T70" s="65" t="s">
        <v>196</v>
      </c>
      <c r="U70" s="65" t="s">
        <v>196</v>
      </c>
      <c r="V70" s="65" t="s">
        <v>174</v>
      </c>
      <c r="W70" s="65" t="s">
        <v>599</v>
      </c>
      <c r="X70" s="98" t="s">
        <v>166</v>
      </c>
      <c r="Y70" s="98" t="s">
        <v>15</v>
      </c>
      <c r="Z70" s="65" t="s">
        <v>403</v>
      </c>
      <c r="AA70" s="65" t="s">
        <v>188</v>
      </c>
      <c r="AB70" s="65">
        <v>7712019852</v>
      </c>
      <c r="AC70" s="65"/>
      <c r="AD70" s="62">
        <v>1</v>
      </c>
      <c r="AE70" s="62">
        <f t="shared" si="1"/>
        <v>30</v>
      </c>
      <c r="AF70" s="69">
        <v>120</v>
      </c>
      <c r="AG70" s="62" t="s">
        <v>132</v>
      </c>
      <c r="AH70" s="65" t="s">
        <v>835</v>
      </c>
    </row>
    <row r="71" spans="1:34" ht="54.75" customHeight="1" x14ac:dyDescent="0.2">
      <c r="A71" s="83">
        <v>69</v>
      </c>
      <c r="B71" s="66" t="s">
        <v>420</v>
      </c>
      <c r="C71" s="67" t="s">
        <v>107</v>
      </c>
      <c r="D71" s="68">
        <v>46094</v>
      </c>
      <c r="E71" s="65" t="s">
        <v>421</v>
      </c>
      <c r="F71" s="36" t="s">
        <v>548</v>
      </c>
      <c r="G71" s="83" t="s">
        <v>423</v>
      </c>
      <c r="H71" s="65" t="s">
        <v>142</v>
      </c>
      <c r="I71" s="65" t="s">
        <v>198</v>
      </c>
      <c r="J71" s="68">
        <v>46100</v>
      </c>
      <c r="K71" s="62" t="s">
        <v>2</v>
      </c>
      <c r="L71" s="65" t="s">
        <v>905</v>
      </c>
      <c r="M71" s="65" t="s">
        <v>1090</v>
      </c>
      <c r="N71" s="65" t="s">
        <v>196</v>
      </c>
      <c r="O71" s="65" t="s">
        <v>196</v>
      </c>
      <c r="P71" s="65" t="s">
        <v>196</v>
      </c>
      <c r="Q71" s="65" t="s">
        <v>196</v>
      </c>
      <c r="R71" s="65" t="s">
        <v>196</v>
      </c>
      <c r="S71" s="65" t="s">
        <v>196</v>
      </c>
      <c r="T71" s="65" t="s">
        <v>196</v>
      </c>
      <c r="U71" s="65" t="s">
        <v>196</v>
      </c>
      <c r="V71" s="65" t="s">
        <v>173</v>
      </c>
      <c r="W71" s="65" t="s">
        <v>599</v>
      </c>
      <c r="X71" s="98" t="s">
        <v>166</v>
      </c>
      <c r="Y71" s="98" t="s">
        <v>9</v>
      </c>
      <c r="Z71" s="65" t="s">
        <v>422</v>
      </c>
      <c r="AA71" s="65" t="s">
        <v>188</v>
      </c>
      <c r="AB71" s="65">
        <v>7712089709</v>
      </c>
      <c r="AC71" s="65" t="s">
        <v>590</v>
      </c>
      <c r="AD71" s="62">
        <v>1</v>
      </c>
      <c r="AE71" s="62">
        <v>203</v>
      </c>
      <c r="AF71" s="69">
        <v>810</v>
      </c>
      <c r="AG71" s="62" t="s">
        <v>132</v>
      </c>
      <c r="AH71" s="65" t="s">
        <v>835</v>
      </c>
    </row>
    <row r="72" spans="1:34" ht="57" customHeight="1" x14ac:dyDescent="0.2">
      <c r="A72" s="83">
        <v>70</v>
      </c>
      <c r="B72" s="66" t="s">
        <v>459</v>
      </c>
      <c r="C72" s="67" t="s">
        <v>107</v>
      </c>
      <c r="D72" s="67">
        <v>46101</v>
      </c>
      <c r="E72" s="65" t="s">
        <v>461</v>
      </c>
      <c r="F72" s="36" t="s">
        <v>548</v>
      </c>
      <c r="G72" s="83" t="s">
        <v>462</v>
      </c>
      <c r="H72" s="65" t="s">
        <v>142</v>
      </c>
      <c r="I72" s="65" t="s">
        <v>198</v>
      </c>
      <c r="J72" s="68">
        <v>46105</v>
      </c>
      <c r="K72" s="62" t="s">
        <v>2</v>
      </c>
      <c r="L72" s="65" t="s">
        <v>923</v>
      </c>
      <c r="M72" s="82" t="s">
        <v>925</v>
      </c>
      <c r="N72" s="65" t="s">
        <v>3</v>
      </c>
      <c r="O72" s="65" t="s">
        <v>196</v>
      </c>
      <c r="P72" s="65" t="s">
        <v>196</v>
      </c>
      <c r="Q72" s="65" t="s">
        <v>196</v>
      </c>
      <c r="R72" s="65" t="s">
        <v>2</v>
      </c>
      <c r="S72" s="65" t="s">
        <v>924</v>
      </c>
      <c r="T72" s="65" t="s">
        <v>3</v>
      </c>
      <c r="U72" s="65" t="s">
        <v>196</v>
      </c>
      <c r="V72" s="65" t="s">
        <v>173</v>
      </c>
      <c r="W72" s="65" t="s">
        <v>599</v>
      </c>
      <c r="X72" s="98" t="s">
        <v>1039</v>
      </c>
      <c r="Y72" s="98" t="s">
        <v>68</v>
      </c>
      <c r="Z72" s="65" t="s">
        <v>593</v>
      </c>
      <c r="AA72" s="65" t="s">
        <v>189</v>
      </c>
      <c r="AB72" s="65">
        <v>7713932455</v>
      </c>
      <c r="AC72" s="65"/>
      <c r="AD72" s="62">
        <v>1</v>
      </c>
      <c r="AE72" s="62">
        <f>AF72/4</f>
        <v>1</v>
      </c>
      <c r="AF72" s="69">
        <v>4</v>
      </c>
      <c r="AG72" s="62" t="s">
        <v>132</v>
      </c>
      <c r="AH72" s="65" t="s">
        <v>835</v>
      </c>
    </row>
    <row r="73" spans="1:34" ht="55.5" customHeight="1" x14ac:dyDescent="0.2">
      <c r="A73" s="83">
        <v>71</v>
      </c>
      <c r="B73" s="66" t="s">
        <v>441</v>
      </c>
      <c r="C73" s="67" t="s">
        <v>107</v>
      </c>
      <c r="D73" s="67">
        <v>46101</v>
      </c>
      <c r="E73" s="65" t="s">
        <v>444</v>
      </c>
      <c r="F73" s="36" t="s">
        <v>548</v>
      </c>
      <c r="G73" s="83" t="s">
        <v>443</v>
      </c>
      <c r="H73" s="65" t="s">
        <v>142</v>
      </c>
      <c r="I73" s="65" t="s">
        <v>198</v>
      </c>
      <c r="J73" s="68">
        <v>46105</v>
      </c>
      <c r="K73" s="62" t="s">
        <v>2</v>
      </c>
      <c r="L73" s="65" t="s">
        <v>910</v>
      </c>
      <c r="M73" s="65" t="s">
        <v>911</v>
      </c>
      <c r="N73" s="65" t="s">
        <v>2</v>
      </c>
      <c r="O73" s="65" t="s">
        <v>912</v>
      </c>
      <c r="P73" s="65" t="s">
        <v>2</v>
      </c>
      <c r="Q73" s="65" t="s">
        <v>689</v>
      </c>
      <c r="R73" s="65" t="s">
        <v>196</v>
      </c>
      <c r="S73" s="65" t="s">
        <v>196</v>
      </c>
      <c r="T73" s="65" t="s">
        <v>196</v>
      </c>
      <c r="U73" s="65" t="s">
        <v>196</v>
      </c>
      <c r="V73" s="65" t="s">
        <v>173</v>
      </c>
      <c r="W73" s="65" t="s">
        <v>599</v>
      </c>
      <c r="X73" s="98" t="s">
        <v>1039</v>
      </c>
      <c r="Y73" s="98" t="s">
        <v>9</v>
      </c>
      <c r="Z73" s="65" t="s">
        <v>442</v>
      </c>
      <c r="AA73" s="65" t="s">
        <v>189</v>
      </c>
      <c r="AB73" s="65">
        <v>7711222241</v>
      </c>
      <c r="AC73" s="65"/>
      <c r="AD73" s="62">
        <v>1</v>
      </c>
      <c r="AE73" s="62">
        <f>AF73/4</f>
        <v>1</v>
      </c>
      <c r="AF73" s="69">
        <v>4</v>
      </c>
      <c r="AG73" s="62" t="s">
        <v>132</v>
      </c>
      <c r="AH73" s="65" t="s">
        <v>835</v>
      </c>
    </row>
    <row r="74" spans="1:34" ht="70.5" customHeight="1" x14ac:dyDescent="0.2">
      <c r="A74" s="83">
        <v>72</v>
      </c>
      <c r="B74" s="66" t="s">
        <v>456</v>
      </c>
      <c r="C74" s="67" t="s">
        <v>107</v>
      </c>
      <c r="D74" s="67">
        <v>46101</v>
      </c>
      <c r="E74" s="65" t="s">
        <v>457</v>
      </c>
      <c r="F74" s="36" t="s">
        <v>548</v>
      </c>
      <c r="G74" s="83" t="s">
        <v>458</v>
      </c>
      <c r="H74" s="65" t="s">
        <v>142</v>
      </c>
      <c r="I74" s="65" t="s">
        <v>198</v>
      </c>
      <c r="J74" s="68">
        <v>46105</v>
      </c>
      <c r="K74" s="62" t="s">
        <v>2</v>
      </c>
      <c r="L74" s="65" t="s">
        <v>920</v>
      </c>
      <c r="M74" s="65" t="s">
        <v>921</v>
      </c>
      <c r="N74" s="65" t="s">
        <v>2</v>
      </c>
      <c r="O74" s="65" t="s">
        <v>922</v>
      </c>
      <c r="P74" s="65" t="s">
        <v>2</v>
      </c>
      <c r="Q74" s="65" t="s">
        <v>1023</v>
      </c>
      <c r="R74" s="65" t="s">
        <v>196</v>
      </c>
      <c r="S74" s="65" t="s">
        <v>196</v>
      </c>
      <c r="T74" s="65" t="s">
        <v>196</v>
      </c>
      <c r="U74" s="65" t="s">
        <v>196</v>
      </c>
      <c r="V74" s="65" t="s">
        <v>173</v>
      </c>
      <c r="W74" s="65" t="s">
        <v>599</v>
      </c>
      <c r="X74" s="98" t="s">
        <v>1043</v>
      </c>
      <c r="Y74" s="98" t="s">
        <v>68</v>
      </c>
      <c r="Z74" s="65"/>
      <c r="AA74" s="65" t="s">
        <v>188</v>
      </c>
      <c r="AB74" s="65">
        <v>7911003559</v>
      </c>
      <c r="AC74" s="65" t="s">
        <v>592</v>
      </c>
      <c r="AD74" s="62">
        <v>1</v>
      </c>
      <c r="AE74" s="62">
        <f>AF74/4</f>
        <v>1</v>
      </c>
      <c r="AF74" s="69">
        <v>4</v>
      </c>
      <c r="AG74" s="62" t="s">
        <v>132</v>
      </c>
      <c r="AH74" s="65" t="s">
        <v>835</v>
      </c>
    </row>
    <row r="75" spans="1:34" ht="44.25" customHeight="1" x14ac:dyDescent="0.2">
      <c r="A75" s="83">
        <v>73</v>
      </c>
      <c r="B75" s="66" t="s">
        <v>460</v>
      </c>
      <c r="C75" s="67" t="s">
        <v>107</v>
      </c>
      <c r="D75" s="67">
        <v>46101</v>
      </c>
      <c r="E75" s="65" t="s">
        <v>463</v>
      </c>
      <c r="F75" s="36" t="s">
        <v>548</v>
      </c>
      <c r="G75" s="83" t="s">
        <v>464</v>
      </c>
      <c r="H75" s="65" t="s">
        <v>142</v>
      </c>
      <c r="I75" s="65" t="s">
        <v>198</v>
      </c>
      <c r="J75" s="68">
        <v>46105</v>
      </c>
      <c r="K75" s="62" t="s">
        <v>2</v>
      </c>
      <c r="L75" s="65" t="s">
        <v>926</v>
      </c>
      <c r="M75" s="65" t="s">
        <v>927</v>
      </c>
      <c r="N75" s="65" t="s">
        <v>3</v>
      </c>
      <c r="O75" s="65" t="s">
        <v>196</v>
      </c>
      <c r="P75" s="65" t="s">
        <v>196</v>
      </c>
      <c r="Q75" s="65" t="s">
        <v>196</v>
      </c>
      <c r="R75" s="65" t="s">
        <v>196</v>
      </c>
      <c r="S75" s="65" t="s">
        <v>196</v>
      </c>
      <c r="T75" s="65" t="s">
        <v>196</v>
      </c>
      <c r="U75" s="65" t="s">
        <v>196</v>
      </c>
      <c r="V75" s="65" t="s">
        <v>173</v>
      </c>
      <c r="W75" s="65" t="s">
        <v>599</v>
      </c>
      <c r="X75" s="98" t="s">
        <v>166</v>
      </c>
      <c r="Y75" s="98" t="s">
        <v>68</v>
      </c>
      <c r="Z75" s="65"/>
      <c r="AA75" s="65" t="s">
        <v>189</v>
      </c>
      <c r="AB75" s="65">
        <v>5614833301</v>
      </c>
      <c r="AC75" s="65"/>
      <c r="AD75" s="62">
        <v>1</v>
      </c>
      <c r="AE75" s="62">
        <f>AF75/4</f>
        <v>37.5</v>
      </c>
      <c r="AF75" s="69">
        <v>150</v>
      </c>
      <c r="AG75" s="62" t="s">
        <v>132</v>
      </c>
      <c r="AH75" s="65" t="s">
        <v>835</v>
      </c>
    </row>
    <row r="76" spans="1:34" ht="81.75" customHeight="1" x14ac:dyDescent="0.2">
      <c r="A76" s="83">
        <v>74</v>
      </c>
      <c r="B76" s="66" t="s">
        <v>438</v>
      </c>
      <c r="C76" s="67" t="s">
        <v>107</v>
      </c>
      <c r="D76" s="68">
        <v>46100</v>
      </c>
      <c r="E76" s="65" t="s">
        <v>439</v>
      </c>
      <c r="F76" s="36" t="s">
        <v>595</v>
      </c>
      <c r="G76" s="83" t="s">
        <v>440</v>
      </c>
      <c r="H76" s="65" t="s">
        <v>140</v>
      </c>
      <c r="I76" s="65" t="s">
        <v>198</v>
      </c>
      <c r="J76" s="68">
        <v>46105</v>
      </c>
      <c r="K76" s="62" t="s">
        <v>2</v>
      </c>
      <c r="L76" s="65" t="s">
        <v>908</v>
      </c>
      <c r="M76" s="65" t="s">
        <v>909</v>
      </c>
      <c r="N76" s="65" t="s">
        <v>196</v>
      </c>
      <c r="O76" s="65" t="s">
        <v>196</v>
      </c>
      <c r="P76" s="65" t="s">
        <v>196</v>
      </c>
      <c r="Q76" s="65" t="s">
        <v>196</v>
      </c>
      <c r="R76" s="65" t="s">
        <v>196</v>
      </c>
      <c r="S76" s="65" t="s">
        <v>196</v>
      </c>
      <c r="T76" s="65" t="s">
        <v>196</v>
      </c>
      <c r="U76" s="65" t="s">
        <v>196</v>
      </c>
      <c r="V76" s="65" t="s">
        <v>175</v>
      </c>
      <c r="W76" s="65" t="s">
        <v>598</v>
      </c>
      <c r="X76" s="65" t="s">
        <v>1047</v>
      </c>
      <c r="Y76" s="65"/>
      <c r="Z76" s="65"/>
      <c r="AA76" s="65" t="s">
        <v>189</v>
      </c>
      <c r="AB76" s="65"/>
      <c r="AC76" s="65"/>
      <c r="AD76" s="62">
        <v>1</v>
      </c>
      <c r="AE76" s="62">
        <v>1</v>
      </c>
      <c r="AF76" s="69">
        <v>0</v>
      </c>
      <c r="AG76" s="65" t="s">
        <v>196</v>
      </c>
      <c r="AH76" s="65" t="s">
        <v>196</v>
      </c>
    </row>
    <row r="77" spans="1:34" ht="63" customHeight="1" x14ac:dyDescent="0.2">
      <c r="A77" s="83">
        <v>75</v>
      </c>
      <c r="B77" s="66" t="s">
        <v>452</v>
      </c>
      <c r="C77" s="67" t="s">
        <v>107</v>
      </c>
      <c r="D77" s="67">
        <v>46101</v>
      </c>
      <c r="E77" s="65" t="s">
        <v>454</v>
      </c>
      <c r="F77" s="36" t="s">
        <v>548</v>
      </c>
      <c r="G77" s="83" t="s">
        <v>455</v>
      </c>
      <c r="H77" s="65" t="s">
        <v>142</v>
      </c>
      <c r="I77" s="65" t="s">
        <v>198</v>
      </c>
      <c r="J77" s="68">
        <v>46105</v>
      </c>
      <c r="K77" s="62" t="s">
        <v>2</v>
      </c>
      <c r="L77" s="65" t="s">
        <v>918</v>
      </c>
      <c r="M77" s="65" t="s">
        <v>919</v>
      </c>
      <c r="N77" s="65" t="s">
        <v>3</v>
      </c>
      <c r="O77" s="65" t="s">
        <v>196</v>
      </c>
      <c r="P77" s="65" t="s">
        <v>196</v>
      </c>
      <c r="Q77" s="65" t="s">
        <v>196</v>
      </c>
      <c r="R77" s="65" t="s">
        <v>196</v>
      </c>
      <c r="S77" s="65" t="s">
        <v>196</v>
      </c>
      <c r="T77" s="65" t="s">
        <v>196</v>
      </c>
      <c r="U77" s="65" t="s">
        <v>196</v>
      </c>
      <c r="V77" s="65" t="s">
        <v>173</v>
      </c>
      <c r="W77" s="65" t="s">
        <v>599</v>
      </c>
      <c r="X77" s="98" t="s">
        <v>1039</v>
      </c>
      <c r="Y77" s="98" t="s">
        <v>90</v>
      </c>
      <c r="Z77" s="65" t="s">
        <v>453</v>
      </c>
      <c r="AA77" s="65" t="s">
        <v>188</v>
      </c>
      <c r="AB77" s="65">
        <v>7711501712</v>
      </c>
      <c r="AC77" s="65" t="s">
        <v>591</v>
      </c>
      <c r="AD77" s="62">
        <v>1</v>
      </c>
      <c r="AE77" s="62">
        <v>17</v>
      </c>
      <c r="AF77" s="69">
        <v>67</v>
      </c>
      <c r="AG77" s="62" t="s">
        <v>132</v>
      </c>
      <c r="AH77" s="65" t="s">
        <v>822</v>
      </c>
    </row>
    <row r="78" spans="1:34" ht="45" customHeight="1" x14ac:dyDescent="0.2">
      <c r="A78" s="83">
        <v>76</v>
      </c>
      <c r="B78" s="66" t="s">
        <v>484</v>
      </c>
      <c r="C78" s="67" t="s">
        <v>107</v>
      </c>
      <c r="D78" s="68">
        <v>46111</v>
      </c>
      <c r="E78" s="65" t="s">
        <v>485</v>
      </c>
      <c r="F78" s="36" t="s">
        <v>548</v>
      </c>
      <c r="G78" s="83" t="s">
        <v>486</v>
      </c>
      <c r="H78" s="65" t="s">
        <v>142</v>
      </c>
      <c r="I78" s="65" t="s">
        <v>198</v>
      </c>
      <c r="J78" s="68">
        <v>46111</v>
      </c>
      <c r="K78" s="62" t="s">
        <v>2</v>
      </c>
      <c r="L78" s="65" t="s">
        <v>930</v>
      </c>
      <c r="M78" s="65" t="s">
        <v>931</v>
      </c>
      <c r="N78" s="65" t="s">
        <v>2</v>
      </c>
      <c r="O78" s="65" t="s">
        <v>932</v>
      </c>
      <c r="P78" s="65" t="s">
        <v>2</v>
      </c>
      <c r="Q78" s="65" t="s">
        <v>734</v>
      </c>
      <c r="R78" s="65" t="s">
        <v>196</v>
      </c>
      <c r="S78" s="65" t="s">
        <v>196</v>
      </c>
      <c r="T78" s="65" t="s">
        <v>196</v>
      </c>
      <c r="U78" s="65" t="s">
        <v>196</v>
      </c>
      <c r="V78" s="65" t="s">
        <v>173</v>
      </c>
      <c r="W78" s="65" t="s">
        <v>599</v>
      </c>
      <c r="X78" s="98" t="s">
        <v>1039</v>
      </c>
      <c r="Y78" s="98" t="s">
        <v>90</v>
      </c>
      <c r="Z78" s="65" t="s">
        <v>487</v>
      </c>
      <c r="AA78" s="65" t="s">
        <v>189</v>
      </c>
      <c r="AB78" s="65">
        <v>5536444499</v>
      </c>
      <c r="AC78" s="65"/>
      <c r="AD78" s="62">
        <v>1</v>
      </c>
      <c r="AE78" s="89">
        <f>AF78/4</f>
        <v>10</v>
      </c>
      <c r="AF78" s="84">
        <v>40</v>
      </c>
      <c r="AG78" s="62" t="s">
        <v>132</v>
      </c>
      <c r="AH78" s="65" t="s">
        <v>822</v>
      </c>
    </row>
    <row r="79" spans="1:34" ht="71.25" customHeight="1" x14ac:dyDescent="0.2">
      <c r="A79" s="83">
        <v>77</v>
      </c>
      <c r="B79" s="66" t="s">
        <v>488</v>
      </c>
      <c r="C79" s="67" t="s">
        <v>107</v>
      </c>
      <c r="D79" s="68">
        <v>46111</v>
      </c>
      <c r="E79" s="65" t="s">
        <v>489</v>
      </c>
      <c r="F79" s="36" t="s">
        <v>548</v>
      </c>
      <c r="G79" s="83" t="s">
        <v>684</v>
      </c>
      <c r="H79" s="65" t="s">
        <v>142</v>
      </c>
      <c r="I79" s="65" t="s">
        <v>198</v>
      </c>
      <c r="J79" s="68">
        <v>46111</v>
      </c>
      <c r="K79" s="62" t="s">
        <v>2</v>
      </c>
      <c r="L79" s="65" t="s">
        <v>933</v>
      </c>
      <c r="M79" s="65" t="s">
        <v>935</v>
      </c>
      <c r="N79" s="65" t="s">
        <v>3</v>
      </c>
      <c r="O79" s="65" t="s">
        <v>196</v>
      </c>
      <c r="P79" s="65" t="s">
        <v>196</v>
      </c>
      <c r="Q79" s="65" t="s">
        <v>196</v>
      </c>
      <c r="R79" s="65" t="s">
        <v>936</v>
      </c>
      <c r="S79" s="65" t="s">
        <v>934</v>
      </c>
      <c r="T79" s="65" t="s">
        <v>3</v>
      </c>
      <c r="U79" s="65" t="s">
        <v>196</v>
      </c>
      <c r="V79" s="65" t="s">
        <v>173</v>
      </c>
      <c r="W79" s="65" t="s">
        <v>599</v>
      </c>
      <c r="X79" s="98" t="s">
        <v>166</v>
      </c>
      <c r="Y79" s="98" t="s">
        <v>90</v>
      </c>
      <c r="Z79" s="65" t="s">
        <v>487</v>
      </c>
      <c r="AA79" s="65" t="s">
        <v>189</v>
      </c>
      <c r="AB79" s="65">
        <v>5536444499</v>
      </c>
      <c r="AC79" s="65"/>
      <c r="AD79" s="62">
        <v>1</v>
      </c>
      <c r="AE79" s="62">
        <f>AF79/4</f>
        <v>25</v>
      </c>
      <c r="AF79" s="69">
        <v>100</v>
      </c>
      <c r="AG79" s="62" t="s">
        <v>132</v>
      </c>
      <c r="AH79" s="65" t="s">
        <v>822</v>
      </c>
    </row>
    <row r="80" spans="1:34" ht="45" customHeight="1" x14ac:dyDescent="0.2">
      <c r="A80" s="83">
        <v>78</v>
      </c>
      <c r="B80" s="66" t="s">
        <v>490</v>
      </c>
      <c r="C80" s="67" t="s">
        <v>107</v>
      </c>
      <c r="D80" s="68">
        <v>46111</v>
      </c>
      <c r="E80" s="65" t="s">
        <v>491</v>
      </c>
      <c r="F80" s="36" t="s">
        <v>548</v>
      </c>
      <c r="G80" s="83" t="s">
        <v>493</v>
      </c>
      <c r="H80" s="65" t="s">
        <v>142</v>
      </c>
      <c r="I80" s="65" t="s">
        <v>198</v>
      </c>
      <c r="J80" s="68">
        <v>46111</v>
      </c>
      <c r="K80" s="62" t="s">
        <v>2</v>
      </c>
      <c r="L80" s="65" t="s">
        <v>937</v>
      </c>
      <c r="M80" s="65" t="s">
        <v>938</v>
      </c>
      <c r="N80" s="65" t="s">
        <v>3</v>
      </c>
      <c r="O80" s="65" t="s">
        <v>196</v>
      </c>
      <c r="P80" s="65" t="s">
        <v>196</v>
      </c>
      <c r="Q80" s="65" t="s">
        <v>196</v>
      </c>
      <c r="R80" s="65" t="s">
        <v>196</v>
      </c>
      <c r="S80" s="65" t="s">
        <v>196</v>
      </c>
      <c r="T80" s="65" t="s">
        <v>196</v>
      </c>
      <c r="U80" s="65" t="s">
        <v>196</v>
      </c>
      <c r="V80" s="65" t="s">
        <v>173</v>
      </c>
      <c r="W80" s="65" t="s">
        <v>599</v>
      </c>
      <c r="X80" s="98" t="s">
        <v>1039</v>
      </c>
      <c r="Y80" s="98" t="s">
        <v>90</v>
      </c>
      <c r="Z80" s="65" t="s">
        <v>492</v>
      </c>
      <c r="AA80" s="65" t="s">
        <v>188</v>
      </c>
      <c r="AB80" s="65">
        <v>7717734654</v>
      </c>
      <c r="AC80" s="65"/>
      <c r="AD80" s="62">
        <v>1</v>
      </c>
      <c r="AE80" s="89">
        <f>AF80/4</f>
        <v>20</v>
      </c>
      <c r="AF80" s="84">
        <v>80</v>
      </c>
      <c r="AG80" s="62" t="s">
        <v>132</v>
      </c>
      <c r="AH80" s="65" t="s">
        <v>822</v>
      </c>
    </row>
    <row r="81" spans="1:34" ht="75.75" customHeight="1" x14ac:dyDescent="0.2">
      <c r="A81" s="83">
        <v>79</v>
      </c>
      <c r="B81" s="66" t="s">
        <v>494</v>
      </c>
      <c r="C81" s="67" t="s">
        <v>107</v>
      </c>
      <c r="D81" s="68">
        <v>46111</v>
      </c>
      <c r="E81" s="65" t="s">
        <v>495</v>
      </c>
      <c r="F81" s="36" t="s">
        <v>548</v>
      </c>
      <c r="G81" s="83" t="s">
        <v>497</v>
      </c>
      <c r="H81" s="65" t="s">
        <v>142</v>
      </c>
      <c r="I81" s="65" t="s">
        <v>198</v>
      </c>
      <c r="J81" s="68">
        <v>46111</v>
      </c>
      <c r="K81" s="62" t="s">
        <v>2</v>
      </c>
      <c r="L81" s="65" t="s">
        <v>939</v>
      </c>
      <c r="M81" s="65" t="s">
        <v>940</v>
      </c>
      <c r="N81" s="65" t="s">
        <v>3</v>
      </c>
      <c r="O81" s="65" t="s">
        <v>196</v>
      </c>
      <c r="P81" s="65" t="s">
        <v>196</v>
      </c>
      <c r="Q81" s="65" t="s">
        <v>196</v>
      </c>
      <c r="R81" s="65" t="s">
        <v>196</v>
      </c>
      <c r="S81" s="65" t="s">
        <v>196</v>
      </c>
      <c r="T81" s="65" t="s">
        <v>196</v>
      </c>
      <c r="U81" s="65" t="s">
        <v>196</v>
      </c>
      <c r="V81" s="65" t="s">
        <v>173</v>
      </c>
      <c r="W81" s="65" t="s">
        <v>599</v>
      </c>
      <c r="X81" s="98" t="s">
        <v>1039</v>
      </c>
      <c r="Y81" s="98" t="s">
        <v>90</v>
      </c>
      <c r="Z81" s="65" t="s">
        <v>496</v>
      </c>
      <c r="AA81" s="65" t="s">
        <v>189</v>
      </c>
      <c r="AB81" s="65">
        <v>7711235578</v>
      </c>
      <c r="AC81" s="65"/>
      <c r="AD81" s="62">
        <v>1</v>
      </c>
      <c r="AE81" s="89">
        <f>AF81/4</f>
        <v>10</v>
      </c>
      <c r="AF81" s="84">
        <v>40</v>
      </c>
      <c r="AG81" s="62" t="s">
        <v>132</v>
      </c>
      <c r="AH81" s="65" t="s">
        <v>822</v>
      </c>
    </row>
    <row r="82" spans="1:34" ht="45" customHeight="1" x14ac:dyDescent="0.2">
      <c r="A82" s="83">
        <v>80</v>
      </c>
      <c r="B82" s="66" t="s">
        <v>498</v>
      </c>
      <c r="C82" s="67" t="s">
        <v>107</v>
      </c>
      <c r="D82" s="68">
        <v>46111</v>
      </c>
      <c r="E82" s="65" t="s">
        <v>499</v>
      </c>
      <c r="F82" s="36" t="s">
        <v>548</v>
      </c>
      <c r="G82" s="83" t="s">
        <v>501</v>
      </c>
      <c r="H82" s="65" t="s">
        <v>142</v>
      </c>
      <c r="I82" s="65" t="s">
        <v>198</v>
      </c>
      <c r="J82" s="68">
        <v>46111</v>
      </c>
      <c r="K82" s="62" t="s">
        <v>2</v>
      </c>
      <c r="L82" s="65" t="s">
        <v>941</v>
      </c>
      <c r="M82" s="65" t="s">
        <v>942</v>
      </c>
      <c r="N82" s="65" t="s">
        <v>196</v>
      </c>
      <c r="O82" s="65" t="s">
        <v>196</v>
      </c>
      <c r="P82" s="65" t="s">
        <v>196</v>
      </c>
      <c r="Q82" s="65" t="s">
        <v>196</v>
      </c>
      <c r="R82" s="65" t="s">
        <v>196</v>
      </c>
      <c r="S82" s="65" t="s">
        <v>196</v>
      </c>
      <c r="T82" s="65" t="s">
        <v>196</v>
      </c>
      <c r="U82" s="65" t="s">
        <v>196</v>
      </c>
      <c r="V82" s="65" t="s">
        <v>173</v>
      </c>
      <c r="W82" s="65" t="s">
        <v>599</v>
      </c>
      <c r="X82" s="98" t="s">
        <v>166</v>
      </c>
      <c r="Y82" s="98" t="s">
        <v>29</v>
      </c>
      <c r="Z82" s="65" t="s">
        <v>500</v>
      </c>
      <c r="AA82" s="65" t="s">
        <v>188</v>
      </c>
      <c r="AB82" s="65">
        <v>7711099070</v>
      </c>
      <c r="AC82" s="65"/>
      <c r="AD82" s="62">
        <v>1</v>
      </c>
      <c r="AE82" s="62">
        <f>AF82/4</f>
        <v>50</v>
      </c>
      <c r="AF82" s="69">
        <v>200</v>
      </c>
      <c r="AG82" s="62" t="s">
        <v>132</v>
      </c>
      <c r="AH82" s="65" t="s">
        <v>822</v>
      </c>
    </row>
    <row r="83" spans="1:34" ht="45" customHeight="1" x14ac:dyDescent="0.2">
      <c r="A83" s="83">
        <v>81</v>
      </c>
      <c r="B83" s="66" t="s">
        <v>503</v>
      </c>
      <c r="C83" s="67" t="s">
        <v>107</v>
      </c>
      <c r="D83" s="68">
        <v>46111</v>
      </c>
      <c r="E83" s="65" t="s">
        <v>504</v>
      </c>
      <c r="F83" s="36" t="s">
        <v>548</v>
      </c>
      <c r="G83" s="83" t="s">
        <v>506</v>
      </c>
      <c r="H83" s="65" t="s">
        <v>142</v>
      </c>
      <c r="I83" s="65" t="s">
        <v>198</v>
      </c>
      <c r="J83" s="68">
        <v>46111</v>
      </c>
      <c r="K83" s="62" t="s">
        <v>2</v>
      </c>
      <c r="L83" s="65" t="s">
        <v>947</v>
      </c>
      <c r="M83" s="65" t="s">
        <v>1091</v>
      </c>
      <c r="N83" s="65" t="s">
        <v>3</v>
      </c>
      <c r="O83" s="65" t="s">
        <v>196</v>
      </c>
      <c r="P83" s="65" t="s">
        <v>196</v>
      </c>
      <c r="Q83" s="65" t="s">
        <v>196</v>
      </c>
      <c r="R83" s="65" t="s">
        <v>196</v>
      </c>
      <c r="S83" s="65" t="s">
        <v>196</v>
      </c>
      <c r="T83" s="65" t="s">
        <v>196</v>
      </c>
      <c r="U83" s="65" t="s">
        <v>196</v>
      </c>
      <c r="V83" s="65" t="s">
        <v>173</v>
      </c>
      <c r="W83" s="65" t="s">
        <v>599</v>
      </c>
      <c r="X83" s="98" t="s">
        <v>1039</v>
      </c>
      <c r="Y83" s="98" t="s">
        <v>90</v>
      </c>
      <c r="Z83" s="65" t="s">
        <v>505</v>
      </c>
      <c r="AA83" s="65" t="s">
        <v>188</v>
      </c>
      <c r="AB83" s="65">
        <v>7712469060</v>
      </c>
      <c r="AC83" s="65"/>
      <c r="AD83" s="62">
        <v>1</v>
      </c>
      <c r="AE83" s="89">
        <v>67</v>
      </c>
      <c r="AF83" s="84">
        <v>265</v>
      </c>
      <c r="AG83" s="62" t="s">
        <v>132</v>
      </c>
      <c r="AH83" s="65" t="s">
        <v>822</v>
      </c>
    </row>
    <row r="84" spans="1:34" ht="45" customHeight="1" x14ac:dyDescent="0.2">
      <c r="A84" s="83">
        <v>82</v>
      </c>
      <c r="B84" s="66" t="s">
        <v>516</v>
      </c>
      <c r="C84" s="67" t="s">
        <v>108</v>
      </c>
      <c r="D84" s="68">
        <v>46119</v>
      </c>
      <c r="E84" s="65" t="s">
        <v>517</v>
      </c>
      <c r="F84" s="36" t="s">
        <v>548</v>
      </c>
      <c r="G84" s="83" t="s">
        <v>519</v>
      </c>
      <c r="H84" s="65" t="s">
        <v>142</v>
      </c>
      <c r="I84" s="65" t="s">
        <v>198</v>
      </c>
      <c r="J84" s="68">
        <v>46119</v>
      </c>
      <c r="K84" s="62" t="s">
        <v>2</v>
      </c>
      <c r="L84" s="65" t="s">
        <v>948</v>
      </c>
      <c r="M84" s="65" t="s">
        <v>949</v>
      </c>
      <c r="N84" s="65" t="s">
        <v>2</v>
      </c>
      <c r="O84" s="65" t="s">
        <v>1874</v>
      </c>
      <c r="P84" s="65" t="s">
        <v>3</v>
      </c>
      <c r="Q84" s="65" t="s">
        <v>196</v>
      </c>
      <c r="R84" s="65" t="s">
        <v>196</v>
      </c>
      <c r="S84" s="65" t="s">
        <v>196</v>
      </c>
      <c r="T84" s="65" t="s">
        <v>196</v>
      </c>
      <c r="U84" s="65" t="s">
        <v>196</v>
      </c>
      <c r="V84" s="65" t="s">
        <v>173</v>
      </c>
      <c r="W84" s="65" t="s">
        <v>599</v>
      </c>
      <c r="X84" s="98" t="s">
        <v>1049</v>
      </c>
      <c r="Y84" s="98" t="s">
        <v>75</v>
      </c>
      <c r="Z84" s="65" t="s">
        <v>518</v>
      </c>
      <c r="AA84" s="65" t="s">
        <v>189</v>
      </c>
      <c r="AB84" s="65">
        <v>8110657579</v>
      </c>
      <c r="AC84" s="65" t="s">
        <v>952</v>
      </c>
      <c r="AD84" s="62">
        <v>1</v>
      </c>
      <c r="AE84" s="62">
        <f t="shared" ref="AE84:AE90" si="2">AF84/4</f>
        <v>1</v>
      </c>
      <c r="AF84" s="69">
        <v>4</v>
      </c>
      <c r="AG84" s="62" t="s">
        <v>134</v>
      </c>
      <c r="AH84" s="65" t="s">
        <v>840</v>
      </c>
    </row>
    <row r="85" spans="1:34" ht="53.25" customHeight="1" x14ac:dyDescent="0.2">
      <c r="A85" s="83">
        <v>83</v>
      </c>
      <c r="B85" s="66" t="s">
        <v>531</v>
      </c>
      <c r="C85" s="67" t="s">
        <v>108</v>
      </c>
      <c r="D85" s="68">
        <v>46119</v>
      </c>
      <c r="E85" s="65" t="s">
        <v>532</v>
      </c>
      <c r="F85" s="36" t="s">
        <v>548</v>
      </c>
      <c r="G85" s="83" t="s">
        <v>534</v>
      </c>
      <c r="H85" s="65" t="s">
        <v>142</v>
      </c>
      <c r="I85" s="65" t="s">
        <v>198</v>
      </c>
      <c r="J85" s="68">
        <v>46119</v>
      </c>
      <c r="K85" s="62" t="s">
        <v>2</v>
      </c>
      <c r="L85" s="65" t="s">
        <v>957</v>
      </c>
      <c r="M85" s="65" t="s">
        <v>959</v>
      </c>
      <c r="N85" s="65" t="s">
        <v>2</v>
      </c>
      <c r="O85" s="65" t="s">
        <v>958</v>
      </c>
      <c r="P85" s="65" t="s">
        <v>3</v>
      </c>
      <c r="Q85" s="65" t="s">
        <v>196</v>
      </c>
      <c r="R85" s="65" t="s">
        <v>196</v>
      </c>
      <c r="S85" s="65" t="s">
        <v>196</v>
      </c>
      <c r="T85" s="65" t="s">
        <v>196</v>
      </c>
      <c r="U85" s="65" t="s">
        <v>196</v>
      </c>
      <c r="V85" s="65" t="s">
        <v>174</v>
      </c>
      <c r="W85" s="65" t="s">
        <v>599</v>
      </c>
      <c r="X85" s="98" t="s">
        <v>1043</v>
      </c>
      <c r="Y85" s="98" t="s">
        <v>13</v>
      </c>
      <c r="Z85" s="65" t="s">
        <v>533</v>
      </c>
      <c r="AA85" s="65" t="s">
        <v>188</v>
      </c>
      <c r="AB85" s="65">
        <v>77121367168</v>
      </c>
      <c r="AC85" s="65"/>
      <c r="AD85" s="62">
        <v>1</v>
      </c>
      <c r="AE85" s="62">
        <f t="shared" si="2"/>
        <v>50</v>
      </c>
      <c r="AF85" s="69">
        <v>200</v>
      </c>
      <c r="AG85" s="62" t="s">
        <v>133</v>
      </c>
      <c r="AH85" s="65" t="s">
        <v>819</v>
      </c>
    </row>
    <row r="86" spans="1:34" ht="45" customHeight="1" x14ac:dyDescent="0.2">
      <c r="A86" s="83">
        <v>84</v>
      </c>
      <c r="B86" s="66" t="s">
        <v>527</v>
      </c>
      <c r="C86" s="67" t="s">
        <v>108</v>
      </c>
      <c r="D86" s="68">
        <v>46119</v>
      </c>
      <c r="E86" s="65" t="s">
        <v>528</v>
      </c>
      <c r="F86" s="36" t="s">
        <v>548</v>
      </c>
      <c r="G86" s="83" t="s">
        <v>530</v>
      </c>
      <c r="H86" s="65" t="s">
        <v>142</v>
      </c>
      <c r="I86" s="65" t="s">
        <v>198</v>
      </c>
      <c r="J86" s="68">
        <v>46119</v>
      </c>
      <c r="K86" s="62" t="s">
        <v>2</v>
      </c>
      <c r="L86" s="65" t="s">
        <v>955</v>
      </c>
      <c r="M86" s="65" t="s">
        <v>956</v>
      </c>
      <c r="N86" s="65" t="s">
        <v>3</v>
      </c>
      <c r="O86" s="65" t="s">
        <v>196</v>
      </c>
      <c r="P86" s="65" t="s">
        <v>196</v>
      </c>
      <c r="Q86" s="65" t="s">
        <v>196</v>
      </c>
      <c r="R86" s="65" t="s">
        <v>196</v>
      </c>
      <c r="S86" s="65" t="s">
        <v>196</v>
      </c>
      <c r="T86" s="65" t="s">
        <v>196</v>
      </c>
      <c r="U86" s="65" t="s">
        <v>196</v>
      </c>
      <c r="V86" s="65" t="s">
        <v>173</v>
      </c>
      <c r="W86" s="65" t="s">
        <v>599</v>
      </c>
      <c r="X86" s="98" t="s">
        <v>1039</v>
      </c>
      <c r="Y86" s="98" t="s">
        <v>65</v>
      </c>
      <c r="Z86" s="65" t="s">
        <v>529</v>
      </c>
      <c r="AA86" s="65" t="s">
        <v>188</v>
      </c>
      <c r="AB86" s="65">
        <v>7721165773</v>
      </c>
      <c r="AC86" s="65"/>
      <c r="AD86" s="62">
        <v>1</v>
      </c>
      <c r="AE86" s="84">
        <f t="shared" si="2"/>
        <v>5</v>
      </c>
      <c r="AF86" s="84">
        <v>20</v>
      </c>
      <c r="AG86" s="62" t="s">
        <v>133</v>
      </c>
      <c r="AH86" s="65" t="s">
        <v>819</v>
      </c>
    </row>
    <row r="87" spans="1:34" ht="45" customHeight="1" x14ac:dyDescent="0.2">
      <c r="A87" s="83">
        <v>85</v>
      </c>
      <c r="B87" s="66" t="s">
        <v>520</v>
      </c>
      <c r="C87" s="67" t="s">
        <v>108</v>
      </c>
      <c r="D87" s="68">
        <v>46119</v>
      </c>
      <c r="E87" s="65" t="s">
        <v>521</v>
      </c>
      <c r="F87" s="36" t="s">
        <v>548</v>
      </c>
      <c r="G87" s="83" t="s">
        <v>1070</v>
      </c>
      <c r="H87" s="65" t="s">
        <v>142</v>
      </c>
      <c r="I87" s="65" t="s">
        <v>198</v>
      </c>
      <c r="J87" s="68">
        <v>46119</v>
      </c>
      <c r="K87" s="62" t="s">
        <v>2</v>
      </c>
      <c r="L87" s="65" t="s">
        <v>950</v>
      </c>
      <c r="M87" s="65" t="s">
        <v>951</v>
      </c>
      <c r="N87" s="65" t="s">
        <v>3</v>
      </c>
      <c r="O87" s="65" t="s">
        <v>196</v>
      </c>
      <c r="P87" s="65" t="s">
        <v>196</v>
      </c>
      <c r="Q87" s="65" t="s">
        <v>196</v>
      </c>
      <c r="R87" s="65" t="s">
        <v>196</v>
      </c>
      <c r="S87" s="65" t="s">
        <v>196</v>
      </c>
      <c r="T87" s="65" t="s">
        <v>196</v>
      </c>
      <c r="U87" s="65" t="s">
        <v>196</v>
      </c>
      <c r="V87" s="65" t="s">
        <v>173</v>
      </c>
      <c r="W87" s="65" t="s">
        <v>599</v>
      </c>
      <c r="X87" s="98" t="s">
        <v>166</v>
      </c>
      <c r="Y87" s="98" t="s">
        <v>51</v>
      </c>
      <c r="Z87" s="65" t="s">
        <v>522</v>
      </c>
      <c r="AA87" s="65" t="s">
        <v>189</v>
      </c>
      <c r="AB87" s="65">
        <v>5534881345</v>
      </c>
      <c r="AC87" s="65"/>
      <c r="AD87" s="62">
        <v>1</v>
      </c>
      <c r="AE87" s="89">
        <f t="shared" si="2"/>
        <v>270</v>
      </c>
      <c r="AF87" s="84">
        <v>1080</v>
      </c>
      <c r="AG87" s="62" t="s">
        <v>133</v>
      </c>
      <c r="AH87" s="65" t="s">
        <v>819</v>
      </c>
    </row>
    <row r="88" spans="1:34" ht="45" customHeight="1" x14ac:dyDescent="0.2">
      <c r="A88" s="83">
        <v>86</v>
      </c>
      <c r="B88" s="66" t="s">
        <v>535</v>
      </c>
      <c r="C88" s="67" t="s">
        <v>108</v>
      </c>
      <c r="D88" s="68">
        <v>46119</v>
      </c>
      <c r="E88" s="65" t="s">
        <v>536</v>
      </c>
      <c r="F88" s="36" t="s">
        <v>548</v>
      </c>
      <c r="G88" s="83" t="s">
        <v>537</v>
      </c>
      <c r="H88" s="65" t="s">
        <v>142</v>
      </c>
      <c r="I88" s="65" t="s">
        <v>198</v>
      </c>
      <c r="J88" s="68">
        <v>46119</v>
      </c>
      <c r="K88" s="62" t="s">
        <v>2</v>
      </c>
      <c r="L88" s="65" t="s">
        <v>960</v>
      </c>
      <c r="M88" s="82" t="s">
        <v>961</v>
      </c>
      <c r="N88" s="65" t="s">
        <v>3</v>
      </c>
      <c r="O88" s="65" t="s">
        <v>196</v>
      </c>
      <c r="P88" s="65" t="s">
        <v>196</v>
      </c>
      <c r="Q88" s="65" t="s">
        <v>196</v>
      </c>
      <c r="R88" s="65" t="s">
        <v>2</v>
      </c>
      <c r="S88" s="65" t="s">
        <v>962</v>
      </c>
      <c r="T88" s="65" t="s">
        <v>3</v>
      </c>
      <c r="U88" s="65" t="s">
        <v>196</v>
      </c>
      <c r="V88" s="65" t="s">
        <v>173</v>
      </c>
      <c r="W88" s="65" t="s">
        <v>599</v>
      </c>
      <c r="X88" s="98" t="s">
        <v>165</v>
      </c>
      <c r="Y88" s="98" t="s">
        <v>13</v>
      </c>
      <c r="Z88" s="65" t="s">
        <v>525</v>
      </c>
      <c r="AA88" s="65" t="s">
        <v>188</v>
      </c>
      <c r="AB88" s="65">
        <v>7712055444</v>
      </c>
      <c r="AC88" s="65"/>
      <c r="AD88" s="62">
        <v>1</v>
      </c>
      <c r="AE88" s="62">
        <f t="shared" si="2"/>
        <v>25</v>
      </c>
      <c r="AF88" s="84">
        <v>100</v>
      </c>
      <c r="AG88" s="62" t="s">
        <v>133</v>
      </c>
      <c r="AH88" s="65" t="s">
        <v>819</v>
      </c>
    </row>
    <row r="89" spans="1:34" ht="45" customHeight="1" x14ac:dyDescent="0.2">
      <c r="A89" s="83">
        <v>87</v>
      </c>
      <c r="B89" s="66" t="s">
        <v>541</v>
      </c>
      <c r="C89" s="67" t="s">
        <v>108</v>
      </c>
      <c r="D89" s="68">
        <v>46119</v>
      </c>
      <c r="E89" s="65" t="s">
        <v>542</v>
      </c>
      <c r="F89" s="36" t="s">
        <v>548</v>
      </c>
      <c r="G89" s="83" t="s">
        <v>1072</v>
      </c>
      <c r="H89" s="65" t="s">
        <v>142</v>
      </c>
      <c r="I89" s="65" t="s">
        <v>198</v>
      </c>
      <c r="J89" s="68">
        <v>46119</v>
      </c>
      <c r="K89" s="62" t="s">
        <v>2</v>
      </c>
      <c r="L89" s="65" t="s">
        <v>966</v>
      </c>
      <c r="M89" s="65" t="s">
        <v>967</v>
      </c>
      <c r="N89" s="65" t="s">
        <v>2</v>
      </c>
      <c r="O89" s="65" t="s">
        <v>1875</v>
      </c>
      <c r="P89" s="65" t="s">
        <v>3</v>
      </c>
      <c r="Q89" s="65" t="s">
        <v>196</v>
      </c>
      <c r="R89" s="65" t="s">
        <v>196</v>
      </c>
      <c r="S89" s="65" t="s">
        <v>196</v>
      </c>
      <c r="T89" s="65" t="s">
        <v>196</v>
      </c>
      <c r="U89" s="65" t="s">
        <v>196</v>
      </c>
      <c r="V89" s="65" t="s">
        <v>173</v>
      </c>
      <c r="W89" s="65" t="s">
        <v>599</v>
      </c>
      <c r="X89" s="98" t="s">
        <v>1043</v>
      </c>
      <c r="Y89" s="98" t="s">
        <v>60</v>
      </c>
      <c r="Z89" s="65" t="s">
        <v>543</v>
      </c>
      <c r="AA89" s="65" t="s">
        <v>188</v>
      </c>
      <c r="AB89" s="65">
        <v>7298249350</v>
      </c>
      <c r="AC89" s="65"/>
      <c r="AD89" s="62">
        <v>1</v>
      </c>
      <c r="AE89" s="62">
        <f t="shared" si="2"/>
        <v>1</v>
      </c>
      <c r="AF89" s="84">
        <v>4</v>
      </c>
      <c r="AG89" s="62" t="s">
        <v>134</v>
      </c>
      <c r="AH89" s="65" t="s">
        <v>840</v>
      </c>
    </row>
    <row r="90" spans="1:34" ht="45" customHeight="1" x14ac:dyDescent="0.2">
      <c r="A90" s="83">
        <v>88</v>
      </c>
      <c r="B90" s="66" t="s">
        <v>523</v>
      </c>
      <c r="C90" s="67" t="s">
        <v>108</v>
      </c>
      <c r="D90" s="68">
        <v>46119</v>
      </c>
      <c r="E90" s="65" t="s">
        <v>524</v>
      </c>
      <c r="F90" s="36" t="s">
        <v>548</v>
      </c>
      <c r="G90" s="83" t="s">
        <v>526</v>
      </c>
      <c r="H90" s="65" t="s">
        <v>142</v>
      </c>
      <c r="I90" s="65" t="s">
        <v>198</v>
      </c>
      <c r="J90" s="68">
        <v>46119</v>
      </c>
      <c r="K90" s="62" t="s">
        <v>2</v>
      </c>
      <c r="L90" s="65" t="s">
        <v>953</v>
      </c>
      <c r="M90" s="65" t="s">
        <v>954</v>
      </c>
      <c r="N90" s="65" t="s">
        <v>3</v>
      </c>
      <c r="O90" s="65" t="s">
        <v>196</v>
      </c>
      <c r="P90" s="65" t="s">
        <v>196</v>
      </c>
      <c r="Q90" s="65" t="s">
        <v>196</v>
      </c>
      <c r="R90" s="65" t="s">
        <v>196</v>
      </c>
      <c r="S90" s="65" t="s">
        <v>196</v>
      </c>
      <c r="T90" s="65" t="s">
        <v>196</v>
      </c>
      <c r="U90" s="65" t="s">
        <v>196</v>
      </c>
      <c r="V90" s="65" t="s">
        <v>174</v>
      </c>
      <c r="W90" s="65" t="s">
        <v>599</v>
      </c>
      <c r="X90" s="98" t="s">
        <v>1039</v>
      </c>
      <c r="Y90" s="98" t="s">
        <v>13</v>
      </c>
      <c r="Z90" s="65" t="s">
        <v>525</v>
      </c>
      <c r="AA90" s="65" t="s">
        <v>189</v>
      </c>
      <c r="AB90" s="65">
        <v>7721124999</v>
      </c>
      <c r="AC90" s="65"/>
      <c r="AD90" s="62">
        <v>1</v>
      </c>
      <c r="AE90" s="62">
        <f t="shared" si="2"/>
        <v>20</v>
      </c>
      <c r="AF90" s="69">
        <v>80</v>
      </c>
      <c r="AG90" s="62" t="s">
        <v>133</v>
      </c>
      <c r="AH90" s="65" t="s">
        <v>819</v>
      </c>
    </row>
    <row r="91" spans="1:34" ht="45" customHeight="1" x14ac:dyDescent="0.2">
      <c r="A91" s="83">
        <v>89</v>
      </c>
      <c r="B91" s="66" t="s">
        <v>207</v>
      </c>
      <c r="C91" s="67" t="s">
        <v>106</v>
      </c>
      <c r="D91" s="68">
        <v>46057</v>
      </c>
      <c r="E91" s="65" t="s">
        <v>287</v>
      </c>
      <c r="F91" s="36" t="s">
        <v>555</v>
      </c>
      <c r="G91" s="83" t="s">
        <v>215</v>
      </c>
      <c r="H91" s="65" t="s">
        <v>4</v>
      </c>
      <c r="I91" s="65" t="s">
        <v>198</v>
      </c>
      <c r="J91" s="68">
        <v>46057</v>
      </c>
      <c r="K91" s="62" t="s">
        <v>2</v>
      </c>
      <c r="L91" s="65" t="s">
        <v>823</v>
      </c>
      <c r="M91" s="65" t="s">
        <v>825</v>
      </c>
      <c r="N91" s="65" t="s">
        <v>196</v>
      </c>
      <c r="O91" s="65" t="s">
        <v>196</v>
      </c>
      <c r="P91" s="65" t="s">
        <v>196</v>
      </c>
      <c r="Q91" s="65" t="s">
        <v>196</v>
      </c>
      <c r="R91" s="65" t="s">
        <v>196</v>
      </c>
      <c r="S91" s="65" t="s">
        <v>196</v>
      </c>
      <c r="T91" s="65" t="s">
        <v>196</v>
      </c>
      <c r="U91" s="65" t="s">
        <v>196</v>
      </c>
      <c r="V91" s="65" t="s">
        <v>178</v>
      </c>
      <c r="W91" s="65" t="s">
        <v>598</v>
      </c>
      <c r="X91" s="65" t="s">
        <v>1047</v>
      </c>
      <c r="Y91" s="65"/>
      <c r="Z91" s="65"/>
      <c r="AA91" s="65" t="s">
        <v>188</v>
      </c>
      <c r="AB91" s="65" t="s">
        <v>288</v>
      </c>
      <c r="AC91" s="65" t="s">
        <v>557</v>
      </c>
      <c r="AD91" s="62">
        <v>1</v>
      </c>
      <c r="AE91" s="62">
        <v>1</v>
      </c>
      <c r="AF91" s="69">
        <v>0</v>
      </c>
      <c r="AG91" s="65" t="s">
        <v>196</v>
      </c>
      <c r="AH91" s="65" t="s">
        <v>196</v>
      </c>
    </row>
    <row r="92" spans="1:34" ht="45" customHeight="1" x14ac:dyDescent="0.2">
      <c r="A92" s="83">
        <v>90</v>
      </c>
      <c r="B92" s="66" t="s">
        <v>481</v>
      </c>
      <c r="C92" s="67" t="s">
        <v>107</v>
      </c>
      <c r="D92" s="68">
        <v>46111</v>
      </c>
      <c r="E92" s="65" t="s">
        <v>482</v>
      </c>
      <c r="F92" s="36" t="s">
        <v>928</v>
      </c>
      <c r="G92" s="83" t="s">
        <v>483</v>
      </c>
      <c r="H92" s="65" t="s">
        <v>140</v>
      </c>
      <c r="I92" s="65" t="s">
        <v>198</v>
      </c>
      <c r="J92" s="68">
        <v>46111</v>
      </c>
      <c r="K92" s="62" t="s">
        <v>2</v>
      </c>
      <c r="L92" s="65" t="s">
        <v>929</v>
      </c>
      <c r="M92" s="65" t="s">
        <v>1089</v>
      </c>
      <c r="N92" s="65" t="s">
        <v>196</v>
      </c>
      <c r="O92" s="65" t="s">
        <v>196</v>
      </c>
      <c r="P92" s="65" t="s">
        <v>196</v>
      </c>
      <c r="Q92" s="65" t="s">
        <v>196</v>
      </c>
      <c r="R92" s="65" t="s">
        <v>196</v>
      </c>
      <c r="S92" s="65" t="s">
        <v>196</v>
      </c>
      <c r="T92" s="65" t="s">
        <v>196</v>
      </c>
      <c r="U92" s="65" t="s">
        <v>196</v>
      </c>
      <c r="V92" s="65" t="s">
        <v>175</v>
      </c>
      <c r="W92" s="65" t="s">
        <v>598</v>
      </c>
      <c r="X92" s="65" t="s">
        <v>1047</v>
      </c>
      <c r="Y92" s="65"/>
      <c r="Z92" s="65"/>
      <c r="AA92" s="65" t="s">
        <v>188</v>
      </c>
      <c r="AB92" s="65" t="s">
        <v>601</v>
      </c>
      <c r="AC92" s="65"/>
      <c r="AD92" s="62">
        <v>1</v>
      </c>
      <c r="AE92" s="62">
        <v>1</v>
      </c>
      <c r="AF92" s="69">
        <v>0</v>
      </c>
      <c r="AG92" s="65" t="s">
        <v>196</v>
      </c>
      <c r="AH92" s="65" t="s">
        <v>196</v>
      </c>
    </row>
    <row r="93" spans="1:34" ht="45" customHeight="1" x14ac:dyDescent="0.2">
      <c r="A93" s="83">
        <v>91</v>
      </c>
      <c r="B93" s="66" t="s">
        <v>605</v>
      </c>
      <c r="C93" s="67" t="s">
        <v>108</v>
      </c>
      <c r="D93" s="68">
        <v>46125</v>
      </c>
      <c r="E93" s="65" t="s">
        <v>607</v>
      </c>
      <c r="F93" s="36" t="s">
        <v>548</v>
      </c>
      <c r="G93" s="83" t="s">
        <v>1074</v>
      </c>
      <c r="H93" s="65" t="s">
        <v>142</v>
      </c>
      <c r="I93" s="65" t="s">
        <v>198</v>
      </c>
      <c r="J93" s="68">
        <v>46125</v>
      </c>
      <c r="K93" s="62" t="s">
        <v>2</v>
      </c>
      <c r="L93" s="65" t="s">
        <v>971</v>
      </c>
      <c r="M93" s="65" t="s">
        <v>972</v>
      </c>
      <c r="N93" s="65" t="s">
        <v>196</v>
      </c>
      <c r="O93" s="65" t="s">
        <v>196</v>
      </c>
      <c r="P93" s="65" t="s">
        <v>196</v>
      </c>
      <c r="Q93" s="65" t="s">
        <v>196</v>
      </c>
      <c r="R93" s="65" t="s">
        <v>196</v>
      </c>
      <c r="S93" s="65" t="s">
        <v>196</v>
      </c>
      <c r="T93" s="65" t="s">
        <v>196</v>
      </c>
      <c r="U93" s="65" t="s">
        <v>196</v>
      </c>
      <c r="V93" s="65" t="s">
        <v>174</v>
      </c>
      <c r="W93" s="65" t="s">
        <v>599</v>
      </c>
      <c r="X93" s="98" t="s">
        <v>1039</v>
      </c>
      <c r="Y93" s="98" t="s">
        <v>36</v>
      </c>
      <c r="Z93" s="65" t="s">
        <v>606</v>
      </c>
      <c r="AA93" s="65" t="s">
        <v>189</v>
      </c>
      <c r="AB93" s="65">
        <v>5534414165</v>
      </c>
      <c r="AC93" s="65"/>
      <c r="AD93" s="62">
        <v>1</v>
      </c>
      <c r="AE93" s="62">
        <f t="shared" ref="AE93:AE107" si="3">AF93/4</f>
        <v>30</v>
      </c>
      <c r="AF93" s="84">
        <v>120</v>
      </c>
      <c r="AG93" s="62" t="s">
        <v>133</v>
      </c>
      <c r="AH93" s="65" t="s">
        <v>819</v>
      </c>
    </row>
    <row r="94" spans="1:34" ht="45" customHeight="1" x14ac:dyDescent="0.2">
      <c r="A94" s="83">
        <v>92</v>
      </c>
      <c r="B94" s="66" t="s">
        <v>608</v>
      </c>
      <c r="C94" s="67" t="s">
        <v>108</v>
      </c>
      <c r="D94" s="68">
        <v>46125</v>
      </c>
      <c r="E94" s="65" t="s">
        <v>609</v>
      </c>
      <c r="F94" s="36" t="s">
        <v>548</v>
      </c>
      <c r="G94" s="83" t="s">
        <v>1075</v>
      </c>
      <c r="H94" s="65" t="s">
        <v>142</v>
      </c>
      <c r="I94" s="65" t="s">
        <v>198</v>
      </c>
      <c r="J94" s="68">
        <v>46125</v>
      </c>
      <c r="K94" s="62" t="s">
        <v>2</v>
      </c>
      <c r="L94" s="65" t="s">
        <v>973</v>
      </c>
      <c r="M94" s="65" t="s">
        <v>974</v>
      </c>
      <c r="N94" s="65" t="s">
        <v>2</v>
      </c>
      <c r="O94" s="65" t="s">
        <v>975</v>
      </c>
      <c r="P94" s="65" t="s">
        <v>3</v>
      </c>
      <c r="Q94" s="65" t="s">
        <v>196</v>
      </c>
      <c r="R94" s="65" t="s">
        <v>196</v>
      </c>
      <c r="S94" s="65" t="s">
        <v>196</v>
      </c>
      <c r="T94" s="65" t="s">
        <v>196</v>
      </c>
      <c r="U94" s="65" t="s">
        <v>196</v>
      </c>
      <c r="V94" s="65" t="s">
        <v>174</v>
      </c>
      <c r="W94" s="65" t="s">
        <v>599</v>
      </c>
      <c r="X94" s="98" t="s">
        <v>166</v>
      </c>
      <c r="Y94" s="98" t="s">
        <v>36</v>
      </c>
      <c r="Z94" s="65"/>
      <c r="AA94" s="65" t="s">
        <v>189</v>
      </c>
      <c r="AB94" s="65">
        <v>7731549928</v>
      </c>
      <c r="AC94" s="65" t="s">
        <v>663</v>
      </c>
      <c r="AD94" s="62">
        <v>1</v>
      </c>
      <c r="AE94" s="62">
        <f t="shared" si="3"/>
        <v>29</v>
      </c>
      <c r="AF94" s="84">
        <v>116</v>
      </c>
      <c r="AG94" s="62" t="s">
        <v>133</v>
      </c>
      <c r="AH94" s="65" t="s">
        <v>819</v>
      </c>
    </row>
    <row r="95" spans="1:34" ht="45" customHeight="1" x14ac:dyDescent="0.2">
      <c r="A95" s="83">
        <v>93</v>
      </c>
      <c r="B95" s="66" t="s">
        <v>610</v>
      </c>
      <c r="C95" s="67" t="s">
        <v>108</v>
      </c>
      <c r="D95" s="68">
        <v>46125</v>
      </c>
      <c r="E95" s="65" t="s">
        <v>611</v>
      </c>
      <c r="F95" s="36" t="s">
        <v>548</v>
      </c>
      <c r="G95" s="83" t="s">
        <v>613</v>
      </c>
      <c r="H95" s="65" t="s">
        <v>142</v>
      </c>
      <c r="I95" s="65" t="s">
        <v>198</v>
      </c>
      <c r="J95" s="68">
        <v>46125</v>
      </c>
      <c r="K95" s="62" t="s">
        <v>2</v>
      </c>
      <c r="L95" s="65" t="s">
        <v>976</v>
      </c>
      <c r="M95" s="65" t="s">
        <v>977</v>
      </c>
      <c r="N95" s="65" t="s">
        <v>3</v>
      </c>
      <c r="O95" s="65" t="s">
        <v>196</v>
      </c>
      <c r="P95" s="65" t="s">
        <v>196</v>
      </c>
      <c r="Q95" s="65" t="s">
        <v>196</v>
      </c>
      <c r="R95" s="65" t="s">
        <v>196</v>
      </c>
      <c r="S95" s="65" t="s">
        <v>196</v>
      </c>
      <c r="T95" s="65" t="s">
        <v>196</v>
      </c>
      <c r="U95" s="65" t="s">
        <v>196</v>
      </c>
      <c r="V95" s="65" t="s">
        <v>174</v>
      </c>
      <c r="W95" s="65" t="s">
        <v>599</v>
      </c>
      <c r="X95" s="98" t="s">
        <v>1043</v>
      </c>
      <c r="Y95" s="98" t="s">
        <v>36</v>
      </c>
      <c r="Z95" s="65" t="s">
        <v>612</v>
      </c>
      <c r="AA95" s="65" t="s">
        <v>188</v>
      </c>
      <c r="AB95" s="65">
        <v>7731284313</v>
      </c>
      <c r="AC95" s="65" t="s">
        <v>978</v>
      </c>
      <c r="AD95" s="62">
        <v>1</v>
      </c>
      <c r="AE95" s="62">
        <f t="shared" si="3"/>
        <v>30</v>
      </c>
      <c r="AF95" s="84">
        <v>120</v>
      </c>
      <c r="AG95" s="62" t="s">
        <v>133</v>
      </c>
      <c r="AH95" s="65" t="s">
        <v>819</v>
      </c>
    </row>
    <row r="96" spans="1:34" ht="45" customHeight="1" x14ac:dyDescent="0.2">
      <c r="A96" s="83">
        <v>94</v>
      </c>
      <c r="B96" s="66" t="s">
        <v>616</v>
      </c>
      <c r="C96" s="67" t="s">
        <v>108</v>
      </c>
      <c r="D96" s="68">
        <v>46125</v>
      </c>
      <c r="E96" s="65" t="s">
        <v>617</v>
      </c>
      <c r="F96" s="36" t="s">
        <v>548</v>
      </c>
      <c r="G96" s="83" t="s">
        <v>619</v>
      </c>
      <c r="H96" s="65" t="s">
        <v>142</v>
      </c>
      <c r="I96" s="65" t="s">
        <v>198</v>
      </c>
      <c r="J96" s="68">
        <v>46125</v>
      </c>
      <c r="K96" s="62" t="s">
        <v>2</v>
      </c>
      <c r="L96" s="65" t="s">
        <v>982</v>
      </c>
      <c r="M96" s="65" t="s">
        <v>983</v>
      </c>
      <c r="N96" s="65" t="s">
        <v>196</v>
      </c>
      <c r="O96" s="65" t="s">
        <v>196</v>
      </c>
      <c r="P96" s="65" t="s">
        <v>196</v>
      </c>
      <c r="Q96" s="65" t="s">
        <v>196</v>
      </c>
      <c r="R96" s="65" t="s">
        <v>196</v>
      </c>
      <c r="S96" s="65" t="s">
        <v>196</v>
      </c>
      <c r="T96" s="65" t="s">
        <v>196</v>
      </c>
      <c r="U96" s="65" t="s">
        <v>196</v>
      </c>
      <c r="V96" s="65" t="s">
        <v>174</v>
      </c>
      <c r="W96" s="65" t="s">
        <v>599</v>
      </c>
      <c r="X96" s="98" t="s">
        <v>166</v>
      </c>
      <c r="Y96" s="98" t="s">
        <v>24</v>
      </c>
      <c r="Z96" s="65" t="s">
        <v>618</v>
      </c>
      <c r="AA96" s="65" t="s">
        <v>188</v>
      </c>
      <c r="AB96" s="65">
        <v>6144471640</v>
      </c>
      <c r="AC96" s="65"/>
      <c r="AD96" s="62">
        <v>1</v>
      </c>
      <c r="AE96" s="62">
        <f t="shared" si="3"/>
        <v>2</v>
      </c>
      <c r="AF96" s="84">
        <v>8</v>
      </c>
      <c r="AG96" s="62" t="s">
        <v>132</v>
      </c>
      <c r="AH96" s="65" t="s">
        <v>970</v>
      </c>
    </row>
    <row r="97" spans="1:34" ht="45" customHeight="1" x14ac:dyDescent="0.2">
      <c r="A97" s="83">
        <v>95</v>
      </c>
      <c r="B97" s="66" t="s">
        <v>635</v>
      </c>
      <c r="C97" s="67" t="s">
        <v>108</v>
      </c>
      <c r="D97" s="68">
        <v>46125</v>
      </c>
      <c r="E97" s="65" t="s">
        <v>642</v>
      </c>
      <c r="F97" s="36" t="s">
        <v>548</v>
      </c>
      <c r="G97" s="83" t="s">
        <v>643</v>
      </c>
      <c r="H97" s="65" t="s">
        <v>142</v>
      </c>
      <c r="I97" s="65" t="s">
        <v>198</v>
      </c>
      <c r="J97" s="68">
        <v>46125</v>
      </c>
      <c r="K97" s="62" t="s">
        <v>2</v>
      </c>
      <c r="L97" s="65" t="s">
        <v>993</v>
      </c>
      <c r="M97" s="65" t="s">
        <v>994</v>
      </c>
      <c r="N97" s="65" t="s">
        <v>196</v>
      </c>
      <c r="O97" s="65" t="s">
        <v>196</v>
      </c>
      <c r="P97" s="65" t="s">
        <v>196</v>
      </c>
      <c r="Q97" s="65" t="s">
        <v>196</v>
      </c>
      <c r="R97" s="65" t="s">
        <v>2</v>
      </c>
      <c r="S97" s="65" t="s">
        <v>1081</v>
      </c>
      <c r="T97" s="65" t="s">
        <v>196</v>
      </c>
      <c r="U97" s="65" t="s">
        <v>196</v>
      </c>
      <c r="V97" s="65" t="s">
        <v>174</v>
      </c>
      <c r="W97" s="65" t="s">
        <v>599</v>
      </c>
      <c r="X97" s="98" t="s">
        <v>166</v>
      </c>
      <c r="Y97" s="98" t="s">
        <v>36</v>
      </c>
      <c r="Z97" s="65" t="s">
        <v>629</v>
      </c>
      <c r="AA97" s="65" t="s">
        <v>188</v>
      </c>
      <c r="AB97" s="65">
        <v>4272243984</v>
      </c>
      <c r="AC97" s="65"/>
      <c r="AD97" s="62">
        <v>1</v>
      </c>
      <c r="AE97" s="62">
        <f t="shared" si="3"/>
        <v>20</v>
      </c>
      <c r="AF97" s="84">
        <v>80</v>
      </c>
      <c r="AG97" s="62" t="s">
        <v>133</v>
      </c>
      <c r="AH97" s="65" t="s">
        <v>819</v>
      </c>
    </row>
    <row r="98" spans="1:34" ht="45" customHeight="1" x14ac:dyDescent="0.2">
      <c r="A98" s="83">
        <v>96</v>
      </c>
      <c r="B98" s="66" t="s">
        <v>628</v>
      </c>
      <c r="C98" s="67" t="s">
        <v>108</v>
      </c>
      <c r="D98" s="68">
        <v>46125</v>
      </c>
      <c r="E98" s="65" t="s">
        <v>665</v>
      </c>
      <c r="F98" s="36" t="s">
        <v>548</v>
      </c>
      <c r="G98" s="83" t="s">
        <v>630</v>
      </c>
      <c r="H98" s="65" t="s">
        <v>142</v>
      </c>
      <c r="I98" s="65" t="s">
        <v>198</v>
      </c>
      <c r="J98" s="68">
        <v>46125</v>
      </c>
      <c r="K98" s="62" t="s">
        <v>2</v>
      </c>
      <c r="L98" s="65" t="s">
        <v>990</v>
      </c>
      <c r="M98" s="65" t="s">
        <v>1092</v>
      </c>
      <c r="N98" s="65" t="s">
        <v>3</v>
      </c>
      <c r="O98" s="65" t="s">
        <v>196</v>
      </c>
      <c r="P98" s="65" t="s">
        <v>196</v>
      </c>
      <c r="Q98" s="65" t="s">
        <v>196</v>
      </c>
      <c r="R98" s="65" t="s">
        <v>196</v>
      </c>
      <c r="S98" s="65" t="s">
        <v>196</v>
      </c>
      <c r="T98" s="65" t="s">
        <v>196</v>
      </c>
      <c r="U98" s="65" t="s">
        <v>196</v>
      </c>
      <c r="V98" s="65" t="s">
        <v>174</v>
      </c>
      <c r="W98" s="65" t="s">
        <v>599</v>
      </c>
      <c r="X98" s="98" t="s">
        <v>1039</v>
      </c>
      <c r="Y98" s="98" t="s">
        <v>36</v>
      </c>
      <c r="Z98" s="65" t="s">
        <v>629</v>
      </c>
      <c r="AA98" s="65" t="s">
        <v>188</v>
      </c>
      <c r="AB98" s="65">
        <v>4272243984</v>
      </c>
      <c r="AC98" s="65"/>
      <c r="AD98" s="62">
        <v>1</v>
      </c>
      <c r="AE98" s="62">
        <f t="shared" si="3"/>
        <v>20</v>
      </c>
      <c r="AF98" s="84">
        <v>80</v>
      </c>
      <c r="AG98" s="62" t="s">
        <v>133</v>
      </c>
      <c r="AH98" s="65" t="s">
        <v>819</v>
      </c>
    </row>
    <row r="99" spans="1:34" ht="45" customHeight="1" x14ac:dyDescent="0.2">
      <c r="A99" s="83">
        <v>97</v>
      </c>
      <c r="B99" s="66" t="s">
        <v>631</v>
      </c>
      <c r="C99" s="67" t="s">
        <v>108</v>
      </c>
      <c r="D99" s="68">
        <v>46125</v>
      </c>
      <c r="E99" s="65" t="s">
        <v>632</v>
      </c>
      <c r="F99" s="36" t="s">
        <v>548</v>
      </c>
      <c r="G99" s="83" t="s">
        <v>634</v>
      </c>
      <c r="H99" s="65" t="s">
        <v>142</v>
      </c>
      <c r="I99" s="65" t="s">
        <v>198</v>
      </c>
      <c r="J99" s="68">
        <v>46125</v>
      </c>
      <c r="K99" s="62" t="s">
        <v>2</v>
      </c>
      <c r="L99" s="65" t="s">
        <v>991</v>
      </c>
      <c r="M99" s="65" t="s">
        <v>992</v>
      </c>
      <c r="N99" s="65" t="s">
        <v>196</v>
      </c>
      <c r="O99" s="65" t="s">
        <v>196</v>
      </c>
      <c r="P99" s="65" t="s">
        <v>196</v>
      </c>
      <c r="Q99" s="65" t="s">
        <v>196</v>
      </c>
      <c r="R99" s="65" t="s">
        <v>196</v>
      </c>
      <c r="S99" s="65" t="s">
        <v>196</v>
      </c>
      <c r="T99" s="65" t="s">
        <v>196</v>
      </c>
      <c r="U99" s="65" t="s">
        <v>196</v>
      </c>
      <c r="V99" s="65" t="s">
        <v>174</v>
      </c>
      <c r="W99" s="65" t="s">
        <v>599</v>
      </c>
      <c r="X99" s="98" t="s">
        <v>166</v>
      </c>
      <c r="Y99" s="98" t="s">
        <v>36</v>
      </c>
      <c r="Z99" s="65" t="s">
        <v>633</v>
      </c>
      <c r="AA99" s="65" t="s">
        <v>188</v>
      </c>
      <c r="AB99" s="65">
        <v>7731470996</v>
      </c>
      <c r="AC99" s="65"/>
      <c r="AD99" s="62">
        <v>1</v>
      </c>
      <c r="AE99" s="62">
        <f t="shared" si="3"/>
        <v>20</v>
      </c>
      <c r="AF99" s="84">
        <v>80</v>
      </c>
      <c r="AG99" s="62" t="s">
        <v>133</v>
      </c>
      <c r="AH99" s="65" t="s">
        <v>819</v>
      </c>
    </row>
    <row r="100" spans="1:34" ht="45" customHeight="1" x14ac:dyDescent="0.2">
      <c r="A100" s="83">
        <v>98</v>
      </c>
      <c r="B100" s="66" t="s">
        <v>602</v>
      </c>
      <c r="C100" s="67" t="s">
        <v>108</v>
      </c>
      <c r="D100" s="68">
        <v>46125</v>
      </c>
      <c r="E100" s="65" t="s">
        <v>603</v>
      </c>
      <c r="F100" s="36" t="s">
        <v>548</v>
      </c>
      <c r="G100" s="83" t="s">
        <v>1073</v>
      </c>
      <c r="H100" s="65" t="s">
        <v>142</v>
      </c>
      <c r="I100" s="65" t="s">
        <v>198</v>
      </c>
      <c r="J100" s="68">
        <v>46125</v>
      </c>
      <c r="K100" s="62" t="s">
        <v>2</v>
      </c>
      <c r="L100" s="65" t="s">
        <v>968</v>
      </c>
      <c r="M100" s="65" t="s">
        <v>969</v>
      </c>
      <c r="N100" s="65" t="s">
        <v>196</v>
      </c>
      <c r="O100" s="65" t="s">
        <v>196</v>
      </c>
      <c r="P100" s="65" t="s">
        <v>196</v>
      </c>
      <c r="Q100" s="65" t="s">
        <v>196</v>
      </c>
      <c r="R100" s="65" t="s">
        <v>196</v>
      </c>
      <c r="S100" s="65" t="s">
        <v>196</v>
      </c>
      <c r="T100" s="65" t="s">
        <v>196</v>
      </c>
      <c r="U100" s="65" t="s">
        <v>196</v>
      </c>
      <c r="V100" s="65" t="s">
        <v>174</v>
      </c>
      <c r="W100" s="65" t="s">
        <v>599</v>
      </c>
      <c r="X100" s="98" t="s">
        <v>166</v>
      </c>
      <c r="Y100" s="98" t="s">
        <v>24</v>
      </c>
      <c r="Z100" s="65" t="s">
        <v>604</v>
      </c>
      <c r="AA100" s="65" t="s">
        <v>189</v>
      </c>
      <c r="AB100" s="65">
        <v>7721048497</v>
      </c>
      <c r="AC100" s="65" t="s">
        <v>664</v>
      </c>
      <c r="AD100" s="62">
        <v>1</v>
      </c>
      <c r="AE100" s="62">
        <f t="shared" si="3"/>
        <v>42</v>
      </c>
      <c r="AF100" s="84">
        <v>168</v>
      </c>
      <c r="AG100" s="62" t="s">
        <v>132</v>
      </c>
      <c r="AH100" s="65" t="s">
        <v>970</v>
      </c>
    </row>
    <row r="101" spans="1:34" ht="45" customHeight="1" x14ac:dyDescent="0.2">
      <c r="A101" s="83">
        <v>99</v>
      </c>
      <c r="B101" s="66" t="s">
        <v>639</v>
      </c>
      <c r="C101" s="67" t="s">
        <v>108</v>
      </c>
      <c r="D101" s="68">
        <v>46129</v>
      </c>
      <c r="E101" s="65" t="s">
        <v>653</v>
      </c>
      <c r="F101" s="36" t="s">
        <v>548</v>
      </c>
      <c r="G101" s="83" t="s">
        <v>1077</v>
      </c>
      <c r="H101" s="65" t="s">
        <v>142</v>
      </c>
      <c r="I101" s="65" t="s">
        <v>198</v>
      </c>
      <c r="J101" s="68">
        <v>46129</v>
      </c>
      <c r="K101" s="62" t="s">
        <v>2</v>
      </c>
      <c r="L101" s="65" t="s">
        <v>1000</v>
      </c>
      <c r="M101" s="65" t="s">
        <v>1001</v>
      </c>
      <c r="N101" s="65" t="s">
        <v>2</v>
      </c>
      <c r="O101" s="65" t="s">
        <v>1875</v>
      </c>
      <c r="P101" s="65" t="s">
        <v>3</v>
      </c>
      <c r="Q101" s="65" t="s">
        <v>196</v>
      </c>
      <c r="R101" s="65" t="s">
        <v>196</v>
      </c>
      <c r="S101" s="65" t="s">
        <v>196</v>
      </c>
      <c r="T101" s="65" t="s">
        <v>196</v>
      </c>
      <c r="U101" s="65" t="s">
        <v>196</v>
      </c>
      <c r="V101" s="65" t="s">
        <v>173</v>
      </c>
      <c r="W101" s="65" t="s">
        <v>599</v>
      </c>
      <c r="X101" s="98" t="s">
        <v>1049</v>
      </c>
      <c r="Y101" s="98" t="s">
        <v>35</v>
      </c>
      <c r="Z101" s="65" t="s">
        <v>654</v>
      </c>
      <c r="AA101" s="65" t="s">
        <v>189</v>
      </c>
      <c r="AB101" s="65">
        <v>7717033558</v>
      </c>
      <c r="AC101" s="65"/>
      <c r="AD101" s="62">
        <v>1</v>
      </c>
      <c r="AE101" s="62">
        <f t="shared" si="3"/>
        <v>1</v>
      </c>
      <c r="AF101" s="84">
        <v>4</v>
      </c>
      <c r="AG101" s="62" t="s">
        <v>134</v>
      </c>
      <c r="AH101" s="65" t="s">
        <v>840</v>
      </c>
    </row>
    <row r="102" spans="1:34" ht="45" customHeight="1" x14ac:dyDescent="0.2">
      <c r="A102" s="83">
        <v>100</v>
      </c>
      <c r="B102" s="66" t="s">
        <v>640</v>
      </c>
      <c r="C102" s="67" t="s">
        <v>108</v>
      </c>
      <c r="D102" s="68">
        <v>46129</v>
      </c>
      <c r="E102" s="65" t="s">
        <v>655</v>
      </c>
      <c r="F102" s="36" t="s">
        <v>548</v>
      </c>
      <c r="G102" s="83" t="s">
        <v>656</v>
      </c>
      <c r="H102" s="65" t="s">
        <v>142</v>
      </c>
      <c r="I102" s="65" t="s">
        <v>198</v>
      </c>
      <c r="J102" s="68">
        <v>46129</v>
      </c>
      <c r="K102" s="62" t="s">
        <v>2</v>
      </c>
      <c r="L102" s="65" t="s">
        <v>1002</v>
      </c>
      <c r="M102" s="65" t="s">
        <v>1003</v>
      </c>
      <c r="N102" s="65" t="s">
        <v>196</v>
      </c>
      <c r="O102" s="65" t="s">
        <v>196</v>
      </c>
      <c r="P102" s="65" t="s">
        <v>196</v>
      </c>
      <c r="Q102" s="65" t="s">
        <v>196</v>
      </c>
      <c r="R102" s="65" t="s">
        <v>196</v>
      </c>
      <c r="S102" s="65" t="s">
        <v>196</v>
      </c>
      <c r="T102" s="65" t="s">
        <v>196</v>
      </c>
      <c r="U102" s="65" t="s">
        <v>196</v>
      </c>
      <c r="V102" s="65" t="s">
        <v>173</v>
      </c>
      <c r="W102" s="65" t="s">
        <v>599</v>
      </c>
      <c r="X102" s="98" t="s">
        <v>166</v>
      </c>
      <c r="Y102" s="98" t="s">
        <v>36</v>
      </c>
      <c r="Z102" s="65" t="s">
        <v>1004</v>
      </c>
      <c r="AA102" s="65" t="s">
        <v>188</v>
      </c>
      <c r="AB102" s="65">
        <v>7731063125</v>
      </c>
      <c r="AC102" s="65"/>
      <c r="AD102" s="62">
        <v>1</v>
      </c>
      <c r="AE102" s="62">
        <f t="shared" si="3"/>
        <v>2</v>
      </c>
      <c r="AF102" s="84">
        <v>8</v>
      </c>
      <c r="AG102" s="62" t="s">
        <v>133</v>
      </c>
      <c r="AH102" s="65" t="s">
        <v>819</v>
      </c>
    </row>
    <row r="103" spans="1:34" ht="45" customHeight="1" x14ac:dyDescent="0.2">
      <c r="A103" s="83">
        <v>101</v>
      </c>
      <c r="B103" s="66" t="s">
        <v>620</v>
      </c>
      <c r="C103" s="67" t="s">
        <v>108</v>
      </c>
      <c r="D103" s="68">
        <v>46125</v>
      </c>
      <c r="E103" s="65" t="s">
        <v>621</v>
      </c>
      <c r="F103" s="36" t="s">
        <v>548</v>
      </c>
      <c r="G103" s="83" t="s">
        <v>623</v>
      </c>
      <c r="H103" s="65" t="s">
        <v>142</v>
      </c>
      <c r="I103" s="65" t="s">
        <v>198</v>
      </c>
      <c r="J103" s="68">
        <v>46125</v>
      </c>
      <c r="K103" s="62" t="s">
        <v>2</v>
      </c>
      <c r="L103" s="65" t="s">
        <v>984</v>
      </c>
      <c r="M103" s="65" t="s">
        <v>986</v>
      </c>
      <c r="N103" s="65" t="s">
        <v>2</v>
      </c>
      <c r="O103" s="65" t="s">
        <v>985</v>
      </c>
      <c r="P103" s="65" t="s">
        <v>3</v>
      </c>
      <c r="Q103" s="65" t="s">
        <v>196</v>
      </c>
      <c r="R103" s="65" t="s">
        <v>196</v>
      </c>
      <c r="S103" s="65" t="s">
        <v>196</v>
      </c>
      <c r="T103" s="65" t="s">
        <v>196</v>
      </c>
      <c r="U103" s="65" t="s">
        <v>196</v>
      </c>
      <c r="V103" s="65" t="s">
        <v>174</v>
      </c>
      <c r="W103" s="65" t="s">
        <v>599</v>
      </c>
      <c r="X103" s="98" t="s">
        <v>1039</v>
      </c>
      <c r="Y103" s="98" t="s">
        <v>24</v>
      </c>
      <c r="Z103" s="65" t="s">
        <v>622</v>
      </c>
      <c r="AA103" s="65" t="s">
        <v>188</v>
      </c>
      <c r="AB103" s="65">
        <v>7716775707</v>
      </c>
      <c r="AC103" s="65"/>
      <c r="AD103" s="62">
        <v>1</v>
      </c>
      <c r="AE103" s="62">
        <f t="shared" si="3"/>
        <v>3</v>
      </c>
      <c r="AF103" s="84">
        <v>12</v>
      </c>
      <c r="AG103" s="62" t="s">
        <v>132</v>
      </c>
      <c r="AH103" s="65" t="s">
        <v>970</v>
      </c>
    </row>
    <row r="104" spans="1:34" ht="45" customHeight="1" x14ac:dyDescent="0.2">
      <c r="A104" s="83">
        <v>102</v>
      </c>
      <c r="B104" s="66" t="s">
        <v>449</v>
      </c>
      <c r="C104" s="67" t="s">
        <v>107</v>
      </c>
      <c r="D104" s="67">
        <v>46101</v>
      </c>
      <c r="E104" s="65" t="s">
        <v>450</v>
      </c>
      <c r="F104" s="36" t="s">
        <v>548</v>
      </c>
      <c r="G104" s="83" t="s">
        <v>451</v>
      </c>
      <c r="H104" s="65" t="s">
        <v>142</v>
      </c>
      <c r="I104" s="65" t="s">
        <v>198</v>
      </c>
      <c r="J104" s="68">
        <v>46105</v>
      </c>
      <c r="K104" s="62" t="s">
        <v>2</v>
      </c>
      <c r="L104" s="65" t="s">
        <v>915</v>
      </c>
      <c r="M104" s="65" t="s">
        <v>917</v>
      </c>
      <c r="N104" s="65" t="s">
        <v>2</v>
      </c>
      <c r="O104" s="65" t="s">
        <v>916</v>
      </c>
      <c r="P104" s="65" t="s">
        <v>2</v>
      </c>
      <c r="Q104" s="65" t="s">
        <v>686</v>
      </c>
      <c r="R104" s="65" t="s">
        <v>196</v>
      </c>
      <c r="S104" s="65" t="s">
        <v>196</v>
      </c>
      <c r="T104" s="65" t="s">
        <v>196</v>
      </c>
      <c r="U104" s="65" t="s">
        <v>196</v>
      </c>
      <c r="V104" s="65" t="s">
        <v>173</v>
      </c>
      <c r="W104" s="65" t="s">
        <v>599</v>
      </c>
      <c r="X104" s="98" t="s">
        <v>1043</v>
      </c>
      <c r="Y104" s="98" t="s">
        <v>9</v>
      </c>
      <c r="Z104" s="65"/>
      <c r="AA104" s="65" t="s">
        <v>189</v>
      </c>
      <c r="AB104" s="65">
        <v>7761060828</v>
      </c>
      <c r="AC104" s="65"/>
      <c r="AD104" s="62">
        <v>1</v>
      </c>
      <c r="AE104" s="89">
        <f t="shared" si="3"/>
        <v>1</v>
      </c>
      <c r="AF104" s="84">
        <v>4</v>
      </c>
      <c r="AG104" s="62" t="s">
        <v>132</v>
      </c>
      <c r="AH104" s="65" t="s">
        <v>835</v>
      </c>
    </row>
    <row r="105" spans="1:34" ht="45" customHeight="1" x14ac:dyDescent="0.2">
      <c r="A105" s="83">
        <v>103</v>
      </c>
      <c r="B105" s="66" t="s">
        <v>716</v>
      </c>
      <c r="C105" s="67" t="s">
        <v>109</v>
      </c>
      <c r="D105" s="68">
        <v>46147</v>
      </c>
      <c r="E105" s="65" t="s">
        <v>717</v>
      </c>
      <c r="F105" s="36" t="s">
        <v>548</v>
      </c>
      <c r="G105" s="83" t="s">
        <v>718</v>
      </c>
      <c r="H105" s="65" t="s">
        <v>142</v>
      </c>
      <c r="I105" s="65" t="s">
        <v>198</v>
      </c>
      <c r="J105" s="68">
        <v>46147</v>
      </c>
      <c r="K105" s="62" t="s">
        <v>2</v>
      </c>
      <c r="L105" s="65" t="s">
        <v>1016</v>
      </c>
      <c r="M105" s="65" t="s">
        <v>1017</v>
      </c>
      <c r="N105" s="65" t="s">
        <v>196</v>
      </c>
      <c r="O105" s="65" t="s">
        <v>196</v>
      </c>
      <c r="P105" s="65" t="s">
        <v>196</v>
      </c>
      <c r="Q105" s="65" t="s">
        <v>196</v>
      </c>
      <c r="R105" s="65" t="s">
        <v>196</v>
      </c>
      <c r="S105" s="65" t="s">
        <v>196</v>
      </c>
      <c r="T105" s="65" t="s">
        <v>196</v>
      </c>
      <c r="U105" s="65" t="s">
        <v>196</v>
      </c>
      <c r="V105" s="65" t="s">
        <v>175</v>
      </c>
      <c r="W105" s="65" t="s">
        <v>599</v>
      </c>
      <c r="X105" s="98" t="s">
        <v>1039</v>
      </c>
      <c r="Y105" s="98" t="s">
        <v>84</v>
      </c>
      <c r="Z105" s="65" t="s">
        <v>719</v>
      </c>
      <c r="AA105" s="65" t="s">
        <v>188</v>
      </c>
      <c r="AB105" s="65" t="s">
        <v>776</v>
      </c>
      <c r="AC105" s="83"/>
      <c r="AD105" s="62">
        <v>1</v>
      </c>
      <c r="AE105" s="62">
        <f t="shared" si="3"/>
        <v>40</v>
      </c>
      <c r="AF105" s="84">
        <v>160</v>
      </c>
      <c r="AG105" s="62" t="s">
        <v>132</v>
      </c>
      <c r="AH105" s="65" t="s">
        <v>835</v>
      </c>
    </row>
    <row r="106" spans="1:34" ht="45" customHeight="1" x14ac:dyDescent="0.2">
      <c r="A106" s="83">
        <v>104</v>
      </c>
      <c r="B106" s="66" t="s">
        <v>705</v>
      </c>
      <c r="C106" s="67" t="s">
        <v>109</v>
      </c>
      <c r="D106" s="68">
        <v>46146</v>
      </c>
      <c r="E106" s="65" t="s">
        <v>777</v>
      </c>
      <c r="F106" s="36" t="s">
        <v>548</v>
      </c>
      <c r="G106" s="83" t="s">
        <v>706</v>
      </c>
      <c r="H106" s="65" t="s">
        <v>142</v>
      </c>
      <c r="I106" s="65" t="s">
        <v>198</v>
      </c>
      <c r="J106" s="68">
        <v>46146</v>
      </c>
      <c r="K106" s="62" t="s">
        <v>2</v>
      </c>
      <c r="L106" s="65" t="s">
        <v>1009</v>
      </c>
      <c r="M106" s="65" t="s">
        <v>1010</v>
      </c>
      <c r="N106" s="65" t="s">
        <v>196</v>
      </c>
      <c r="O106" s="65" t="s">
        <v>196</v>
      </c>
      <c r="P106" s="65" t="s">
        <v>196</v>
      </c>
      <c r="Q106" s="65" t="s">
        <v>196</v>
      </c>
      <c r="R106" s="65" t="s">
        <v>196</v>
      </c>
      <c r="S106" s="65" t="s">
        <v>196</v>
      </c>
      <c r="T106" s="65" t="s">
        <v>196</v>
      </c>
      <c r="U106" s="65" t="s">
        <v>196</v>
      </c>
      <c r="V106" s="65" t="s">
        <v>175</v>
      </c>
      <c r="W106" s="65" t="s">
        <v>599</v>
      </c>
      <c r="X106" s="98" t="s">
        <v>1043</v>
      </c>
      <c r="Y106" s="98" t="s">
        <v>74</v>
      </c>
      <c r="Z106" s="65" t="s">
        <v>778</v>
      </c>
      <c r="AA106" s="65" t="s">
        <v>188</v>
      </c>
      <c r="AB106" s="65" t="s">
        <v>779</v>
      </c>
      <c r="AC106" s="83"/>
      <c r="AD106" s="62">
        <v>1</v>
      </c>
      <c r="AE106" s="62">
        <f t="shared" si="3"/>
        <v>500</v>
      </c>
      <c r="AF106" s="69">
        <v>2000</v>
      </c>
      <c r="AG106" s="62" t="s">
        <v>132</v>
      </c>
      <c r="AH106" s="83" t="s">
        <v>970</v>
      </c>
    </row>
    <row r="107" spans="1:34" ht="45" customHeight="1" x14ac:dyDescent="0.2">
      <c r="A107" s="83">
        <v>105</v>
      </c>
      <c r="B107" s="66" t="s">
        <v>713</v>
      </c>
      <c r="C107" s="67" t="s">
        <v>109</v>
      </c>
      <c r="D107" s="68">
        <v>46147</v>
      </c>
      <c r="E107" s="65" t="s">
        <v>714</v>
      </c>
      <c r="F107" s="36" t="s">
        <v>548</v>
      </c>
      <c r="G107" s="83" t="s">
        <v>715</v>
      </c>
      <c r="H107" s="65" t="s">
        <v>142</v>
      </c>
      <c r="I107" s="65" t="s">
        <v>198</v>
      </c>
      <c r="J107" s="68">
        <v>46147</v>
      </c>
      <c r="K107" s="62" t="s">
        <v>2</v>
      </c>
      <c r="L107" s="65" t="s">
        <v>1013</v>
      </c>
      <c r="M107" s="65" t="s">
        <v>1014</v>
      </c>
      <c r="N107" s="65" t="s">
        <v>196</v>
      </c>
      <c r="O107" s="65" t="s">
        <v>196</v>
      </c>
      <c r="P107" s="65" t="s">
        <v>196</v>
      </c>
      <c r="Q107" s="65" t="s">
        <v>196</v>
      </c>
      <c r="R107" s="65" t="s">
        <v>196</v>
      </c>
      <c r="S107" s="65" t="s">
        <v>196</v>
      </c>
      <c r="T107" s="65" t="s">
        <v>196</v>
      </c>
      <c r="U107" s="65" t="s">
        <v>196</v>
      </c>
      <c r="V107" s="65" t="s">
        <v>175</v>
      </c>
      <c r="W107" s="65" t="s">
        <v>599</v>
      </c>
      <c r="X107" s="98" t="s">
        <v>166</v>
      </c>
      <c r="Y107" s="98" t="s">
        <v>20</v>
      </c>
      <c r="Z107" s="65" t="s">
        <v>1015</v>
      </c>
      <c r="AA107" s="65" t="s">
        <v>188</v>
      </c>
      <c r="AB107" s="65" t="s">
        <v>780</v>
      </c>
      <c r="AC107" s="83"/>
      <c r="AD107" s="62">
        <v>1</v>
      </c>
      <c r="AE107" s="62">
        <f t="shared" si="3"/>
        <v>20</v>
      </c>
      <c r="AF107" s="69">
        <v>80</v>
      </c>
      <c r="AG107" s="62" t="s">
        <v>132</v>
      </c>
      <c r="AH107" s="83" t="s">
        <v>970</v>
      </c>
    </row>
    <row r="108" spans="1:34" ht="45" customHeight="1" x14ac:dyDescent="0.2">
      <c r="A108" s="83">
        <v>106</v>
      </c>
      <c r="B108" s="66" t="s">
        <v>723</v>
      </c>
      <c r="C108" s="67" t="s">
        <v>109</v>
      </c>
      <c r="D108" s="68">
        <v>46147</v>
      </c>
      <c r="E108" s="65" t="s">
        <v>781</v>
      </c>
      <c r="F108" s="36" t="s">
        <v>548</v>
      </c>
      <c r="G108" s="83" t="s">
        <v>724</v>
      </c>
      <c r="H108" s="65" t="s">
        <v>142</v>
      </c>
      <c r="I108" s="65" t="s">
        <v>198</v>
      </c>
      <c r="J108" s="68">
        <v>46147</v>
      </c>
      <c r="K108" s="62" t="s">
        <v>2</v>
      </c>
      <c r="L108" s="65" t="s">
        <v>1019</v>
      </c>
      <c r="M108" s="65" t="s">
        <v>1020</v>
      </c>
      <c r="N108" s="65" t="s">
        <v>196</v>
      </c>
      <c r="O108" s="65" t="s">
        <v>196</v>
      </c>
      <c r="P108" s="65" t="s">
        <v>196</v>
      </c>
      <c r="Q108" s="65" t="s">
        <v>196</v>
      </c>
      <c r="R108" s="65" t="s">
        <v>196</v>
      </c>
      <c r="S108" s="65" t="s">
        <v>196</v>
      </c>
      <c r="T108" s="65" t="s">
        <v>196</v>
      </c>
      <c r="U108" s="65" t="s">
        <v>196</v>
      </c>
      <c r="V108" s="65" t="s">
        <v>175</v>
      </c>
      <c r="W108" s="65" t="s">
        <v>599</v>
      </c>
      <c r="X108" s="65" t="s">
        <v>1047</v>
      </c>
      <c r="Y108" s="65"/>
      <c r="Z108" s="65" t="s">
        <v>725</v>
      </c>
      <c r="AA108" s="65" t="s">
        <v>188</v>
      </c>
      <c r="AB108" s="65" t="s">
        <v>782</v>
      </c>
      <c r="AC108" s="83"/>
      <c r="AD108" s="62">
        <v>1</v>
      </c>
      <c r="AE108" s="62">
        <v>1</v>
      </c>
      <c r="AF108" s="69">
        <v>2</v>
      </c>
      <c r="AG108" s="62" t="s">
        <v>132</v>
      </c>
      <c r="AH108" s="65" t="s">
        <v>822</v>
      </c>
    </row>
    <row r="109" spans="1:34" ht="45" customHeight="1" x14ac:dyDescent="0.2">
      <c r="A109" s="83">
        <v>107</v>
      </c>
      <c r="B109" s="66" t="s">
        <v>1787</v>
      </c>
      <c r="C109" s="67" t="s">
        <v>109</v>
      </c>
      <c r="D109" s="68">
        <v>46147</v>
      </c>
      <c r="E109" s="65" t="s">
        <v>710</v>
      </c>
      <c r="F109" s="36" t="s">
        <v>548</v>
      </c>
      <c r="G109" s="83" t="s">
        <v>711</v>
      </c>
      <c r="H109" s="65" t="s">
        <v>142</v>
      </c>
      <c r="I109" s="65" t="s">
        <v>198</v>
      </c>
      <c r="J109" s="68">
        <v>46147</v>
      </c>
      <c r="K109" s="62" t="s">
        <v>2</v>
      </c>
      <c r="L109" s="65" t="s">
        <v>1011</v>
      </c>
      <c r="M109" s="65" t="s">
        <v>1012</v>
      </c>
      <c r="N109" s="65" t="s">
        <v>3</v>
      </c>
      <c r="O109" s="65" t="s">
        <v>196</v>
      </c>
      <c r="P109" s="65" t="s">
        <v>196</v>
      </c>
      <c r="Q109" s="65" t="s">
        <v>196</v>
      </c>
      <c r="R109" s="65" t="s">
        <v>196</v>
      </c>
      <c r="S109" s="65" t="s">
        <v>196</v>
      </c>
      <c r="T109" s="65" t="s">
        <v>196</v>
      </c>
      <c r="U109" s="65" t="s">
        <v>196</v>
      </c>
      <c r="V109" s="65" t="s">
        <v>175</v>
      </c>
      <c r="W109" s="65" t="s">
        <v>599</v>
      </c>
      <c r="X109" s="98" t="s">
        <v>1043</v>
      </c>
      <c r="Y109" s="98" t="s">
        <v>69</v>
      </c>
      <c r="Z109" s="65" t="s">
        <v>712</v>
      </c>
      <c r="AA109" s="65" t="s">
        <v>188</v>
      </c>
      <c r="AB109" s="65" t="s">
        <v>783</v>
      </c>
      <c r="AC109" s="83"/>
      <c r="AD109" s="62">
        <v>1</v>
      </c>
      <c r="AE109" s="62">
        <f>AF109/4</f>
        <v>40</v>
      </c>
      <c r="AF109" s="69">
        <v>160</v>
      </c>
      <c r="AG109" s="62" t="s">
        <v>134</v>
      </c>
      <c r="AH109" s="83" t="s">
        <v>840</v>
      </c>
    </row>
    <row r="110" spans="1:34" ht="45" customHeight="1" x14ac:dyDescent="0.2">
      <c r="A110" s="83">
        <v>108</v>
      </c>
      <c r="B110" s="66" t="s">
        <v>726</v>
      </c>
      <c r="C110" s="67" t="s">
        <v>109</v>
      </c>
      <c r="D110" s="68">
        <v>46147</v>
      </c>
      <c r="E110" s="65" t="s">
        <v>727</v>
      </c>
      <c r="F110" s="36" t="s">
        <v>548</v>
      </c>
      <c r="G110" s="83" t="s">
        <v>728</v>
      </c>
      <c r="H110" s="65" t="s">
        <v>142</v>
      </c>
      <c r="I110" s="65" t="s">
        <v>198</v>
      </c>
      <c r="J110" s="68">
        <v>46147</v>
      </c>
      <c r="K110" s="62" t="s">
        <v>2</v>
      </c>
      <c r="L110" s="65" t="s">
        <v>1021</v>
      </c>
      <c r="M110" s="65" t="s">
        <v>1022</v>
      </c>
      <c r="N110" s="65" t="s">
        <v>3</v>
      </c>
      <c r="O110" s="65" t="s">
        <v>196</v>
      </c>
      <c r="P110" s="65" t="s">
        <v>196</v>
      </c>
      <c r="Q110" s="65" t="s">
        <v>196</v>
      </c>
      <c r="R110" s="65" t="s">
        <v>196</v>
      </c>
      <c r="S110" s="65" t="s">
        <v>196</v>
      </c>
      <c r="T110" s="65" t="s">
        <v>196</v>
      </c>
      <c r="U110" s="65" t="s">
        <v>196</v>
      </c>
      <c r="V110" s="65" t="s">
        <v>175</v>
      </c>
      <c r="W110" s="65" t="s">
        <v>599</v>
      </c>
      <c r="X110" s="98" t="s">
        <v>1049</v>
      </c>
      <c r="Y110" s="98" t="s">
        <v>55</v>
      </c>
      <c r="Z110" s="65" t="s">
        <v>784</v>
      </c>
      <c r="AA110" s="65" t="s">
        <v>189</v>
      </c>
      <c r="AB110" s="65" t="s">
        <v>785</v>
      </c>
      <c r="AC110" s="83"/>
      <c r="AD110" s="62">
        <v>1</v>
      </c>
      <c r="AE110" s="62">
        <f>AF110/4</f>
        <v>1</v>
      </c>
      <c r="AF110" s="69">
        <v>4</v>
      </c>
      <c r="AG110" s="62" t="s">
        <v>132</v>
      </c>
      <c r="AH110" s="65" t="s">
        <v>822</v>
      </c>
    </row>
    <row r="111" spans="1:34" ht="45" customHeight="1" x14ac:dyDescent="0.2">
      <c r="A111" s="83">
        <v>109</v>
      </c>
      <c r="B111" s="66" t="s">
        <v>502</v>
      </c>
      <c r="C111" s="67" t="s">
        <v>107</v>
      </c>
      <c r="D111" s="68">
        <v>46111</v>
      </c>
      <c r="E111" s="65" t="s">
        <v>507</v>
      </c>
      <c r="F111" s="36" t="s">
        <v>548</v>
      </c>
      <c r="G111" s="83" t="s">
        <v>509</v>
      </c>
      <c r="H111" s="65" t="s">
        <v>142</v>
      </c>
      <c r="I111" s="65" t="s">
        <v>198</v>
      </c>
      <c r="J111" s="68">
        <v>46111</v>
      </c>
      <c r="K111" s="62" t="s">
        <v>2</v>
      </c>
      <c r="L111" s="65" t="s">
        <v>943</v>
      </c>
      <c r="M111" s="65" t="s">
        <v>946</v>
      </c>
      <c r="N111" s="65" t="s">
        <v>2</v>
      </c>
      <c r="O111" s="65" t="s">
        <v>944</v>
      </c>
      <c r="P111" s="65" t="s">
        <v>2</v>
      </c>
      <c r="Q111" s="65" t="s">
        <v>945</v>
      </c>
      <c r="R111" s="65" t="s">
        <v>196</v>
      </c>
      <c r="S111" s="65" t="s">
        <v>196</v>
      </c>
      <c r="T111" s="65" t="s">
        <v>196</v>
      </c>
      <c r="U111" s="65" t="s">
        <v>196</v>
      </c>
      <c r="V111" s="65" t="s">
        <v>173</v>
      </c>
      <c r="W111" s="65" t="s">
        <v>599</v>
      </c>
      <c r="X111" s="98" t="s">
        <v>1039</v>
      </c>
      <c r="Y111" s="98" t="s">
        <v>29</v>
      </c>
      <c r="Z111" s="65" t="s">
        <v>508</v>
      </c>
      <c r="AA111" s="65" t="s">
        <v>188</v>
      </c>
      <c r="AB111" s="65">
        <v>7711258313</v>
      </c>
      <c r="AC111" s="65"/>
      <c r="AD111" s="62">
        <v>1</v>
      </c>
      <c r="AE111" s="89">
        <f>AF111/4</f>
        <v>21</v>
      </c>
      <c r="AF111" s="84">
        <v>84</v>
      </c>
      <c r="AG111" s="62" t="s">
        <v>132</v>
      </c>
      <c r="AH111" s="65" t="s">
        <v>822</v>
      </c>
    </row>
    <row r="112" spans="1:34" ht="45" customHeight="1" x14ac:dyDescent="0.2">
      <c r="A112" s="83">
        <v>110</v>
      </c>
      <c r="B112" s="66" t="s">
        <v>624</v>
      </c>
      <c r="C112" s="67" t="s">
        <v>108</v>
      </c>
      <c r="D112" s="68">
        <v>46125</v>
      </c>
      <c r="E112" s="65" t="s">
        <v>625</v>
      </c>
      <c r="F112" s="36" t="s">
        <v>548</v>
      </c>
      <c r="G112" s="83" t="s">
        <v>627</v>
      </c>
      <c r="H112" s="65" t="s">
        <v>142</v>
      </c>
      <c r="I112" s="65" t="s">
        <v>198</v>
      </c>
      <c r="J112" s="68">
        <v>46125</v>
      </c>
      <c r="K112" s="62" t="s">
        <v>2</v>
      </c>
      <c r="L112" s="65" t="s">
        <v>987</v>
      </c>
      <c r="M112" s="65" t="s">
        <v>989</v>
      </c>
      <c r="N112" s="65" t="s">
        <v>2</v>
      </c>
      <c r="O112" s="65" t="s">
        <v>988</v>
      </c>
      <c r="P112" s="65" t="s">
        <v>3</v>
      </c>
      <c r="Q112" s="65" t="s">
        <v>196</v>
      </c>
      <c r="R112" s="65" t="s">
        <v>196</v>
      </c>
      <c r="S112" s="65" t="s">
        <v>196</v>
      </c>
      <c r="T112" s="65" t="s">
        <v>196</v>
      </c>
      <c r="U112" s="65" t="s">
        <v>196</v>
      </c>
      <c r="V112" s="65" t="s">
        <v>174</v>
      </c>
      <c r="W112" s="65" t="s">
        <v>599</v>
      </c>
      <c r="X112" s="98" t="s">
        <v>1049</v>
      </c>
      <c r="Y112" s="98" t="s">
        <v>24</v>
      </c>
      <c r="Z112" s="65" t="s">
        <v>626</v>
      </c>
      <c r="AA112" s="65" t="s">
        <v>188</v>
      </c>
      <c r="AB112" s="65">
        <v>4423459828</v>
      </c>
      <c r="AC112" s="65"/>
      <c r="AD112" s="62">
        <v>1</v>
      </c>
      <c r="AE112" s="62">
        <f>AF112/4</f>
        <v>8</v>
      </c>
      <c r="AF112" s="84">
        <v>32</v>
      </c>
      <c r="AG112" s="62" t="s">
        <v>132</v>
      </c>
      <c r="AH112" s="65" t="s">
        <v>970</v>
      </c>
    </row>
    <row r="113" spans="1:35" ht="45" customHeight="1" x14ac:dyDescent="0.2">
      <c r="A113" s="83">
        <v>111</v>
      </c>
      <c r="B113" s="66" t="s">
        <v>763</v>
      </c>
      <c r="C113" s="67" t="s">
        <v>109</v>
      </c>
      <c r="D113" s="68">
        <v>46157</v>
      </c>
      <c r="E113" s="65" t="s">
        <v>768</v>
      </c>
      <c r="F113" s="36" t="s">
        <v>548</v>
      </c>
      <c r="G113" s="83" t="s">
        <v>769</v>
      </c>
      <c r="H113" s="65" t="s">
        <v>142</v>
      </c>
      <c r="I113" s="65" t="s">
        <v>198</v>
      </c>
      <c r="J113" s="68">
        <v>46157</v>
      </c>
      <c r="K113" s="62" t="s">
        <v>2</v>
      </c>
      <c r="L113" s="62" t="s">
        <v>1028</v>
      </c>
      <c r="M113" s="65" t="s">
        <v>1068</v>
      </c>
      <c r="N113" s="65" t="s">
        <v>3</v>
      </c>
      <c r="O113" s="65" t="s">
        <v>196</v>
      </c>
      <c r="P113" s="65" t="s">
        <v>196</v>
      </c>
      <c r="Q113" s="65" t="s">
        <v>196</v>
      </c>
      <c r="R113" s="65" t="s">
        <v>196</v>
      </c>
      <c r="S113" s="65" t="s">
        <v>196</v>
      </c>
      <c r="T113" s="65" t="s">
        <v>196</v>
      </c>
      <c r="U113" s="65" t="s">
        <v>196</v>
      </c>
      <c r="V113" s="65" t="s">
        <v>173</v>
      </c>
      <c r="W113" s="65" t="s">
        <v>599</v>
      </c>
      <c r="X113" s="98" t="s">
        <v>1039</v>
      </c>
      <c r="Y113" s="98" t="s">
        <v>84</v>
      </c>
      <c r="Z113" s="65" t="s">
        <v>719</v>
      </c>
      <c r="AA113" s="65" t="s">
        <v>188</v>
      </c>
      <c r="AB113" s="65" t="s">
        <v>776</v>
      </c>
      <c r="AC113" s="83"/>
      <c r="AD113" s="62">
        <v>0</v>
      </c>
      <c r="AE113" s="62">
        <v>0</v>
      </c>
      <c r="AF113" s="62">
        <v>0</v>
      </c>
      <c r="AG113" s="62" t="s">
        <v>132</v>
      </c>
      <c r="AH113" s="65" t="s">
        <v>835</v>
      </c>
    </row>
    <row r="114" spans="1:35" ht="45" customHeight="1" x14ac:dyDescent="0.2">
      <c r="A114" s="83">
        <v>112</v>
      </c>
      <c r="B114" s="66" t="s">
        <v>764</v>
      </c>
      <c r="C114" s="67" t="s">
        <v>109</v>
      </c>
      <c r="D114" s="68">
        <v>46157</v>
      </c>
      <c r="E114" s="65" t="s">
        <v>770</v>
      </c>
      <c r="F114" s="36" t="s">
        <v>548</v>
      </c>
      <c r="G114" s="83" t="s">
        <v>771</v>
      </c>
      <c r="H114" s="65" t="s">
        <v>142</v>
      </c>
      <c r="I114" s="65" t="s">
        <v>198</v>
      </c>
      <c r="J114" s="68">
        <v>46157</v>
      </c>
      <c r="K114" s="62" t="s">
        <v>2</v>
      </c>
      <c r="L114" s="62" t="s">
        <v>1029</v>
      </c>
      <c r="M114" s="65" t="s">
        <v>1334</v>
      </c>
      <c r="N114" s="65" t="s">
        <v>196</v>
      </c>
      <c r="O114" s="65" t="s">
        <v>196</v>
      </c>
      <c r="P114" s="65" t="s">
        <v>196</v>
      </c>
      <c r="Q114" s="65" t="s">
        <v>196</v>
      </c>
      <c r="R114" s="65" t="s">
        <v>196</v>
      </c>
      <c r="S114" s="65" t="s">
        <v>196</v>
      </c>
      <c r="T114" s="65" t="s">
        <v>196</v>
      </c>
      <c r="U114" s="65" t="s">
        <v>196</v>
      </c>
      <c r="V114" s="65" t="s">
        <v>173</v>
      </c>
      <c r="W114" s="65" t="s">
        <v>599</v>
      </c>
      <c r="X114" s="98" t="s">
        <v>1040</v>
      </c>
      <c r="Y114" s="98" t="s">
        <v>21</v>
      </c>
      <c r="Z114" s="65" t="s">
        <v>772</v>
      </c>
      <c r="AA114" s="65" t="s">
        <v>188</v>
      </c>
      <c r="AB114" s="65">
        <v>7711323732</v>
      </c>
      <c r="AC114" s="65"/>
      <c r="AD114" s="62">
        <v>1</v>
      </c>
      <c r="AE114" s="62">
        <f>AF114/4</f>
        <v>6</v>
      </c>
      <c r="AF114" s="84">
        <v>24</v>
      </c>
      <c r="AG114" s="62" t="s">
        <v>134</v>
      </c>
      <c r="AH114" s="65" t="s">
        <v>840</v>
      </c>
    </row>
    <row r="115" spans="1:35" ht="45" customHeight="1" x14ac:dyDescent="0.2">
      <c r="A115" s="83">
        <v>113</v>
      </c>
      <c r="B115" s="66" t="s">
        <v>765</v>
      </c>
      <c r="C115" s="67" t="s">
        <v>109</v>
      </c>
      <c r="D115" s="68">
        <v>46157</v>
      </c>
      <c r="E115" s="65" t="s">
        <v>773</v>
      </c>
      <c r="F115" s="36" t="s">
        <v>548</v>
      </c>
      <c r="G115" s="83" t="s">
        <v>774</v>
      </c>
      <c r="H115" s="65" t="s">
        <v>142</v>
      </c>
      <c r="I115" s="65" t="s">
        <v>198</v>
      </c>
      <c r="J115" s="68">
        <v>46157</v>
      </c>
      <c r="K115" s="62" t="s">
        <v>2</v>
      </c>
      <c r="L115" s="62" t="s">
        <v>1030</v>
      </c>
      <c r="M115" s="65" t="s">
        <v>1069</v>
      </c>
      <c r="N115" s="65" t="s">
        <v>196</v>
      </c>
      <c r="O115" s="65" t="s">
        <v>196</v>
      </c>
      <c r="P115" s="65" t="s">
        <v>196</v>
      </c>
      <c r="Q115" s="65" t="s">
        <v>196</v>
      </c>
      <c r="R115" s="65" t="s">
        <v>196</v>
      </c>
      <c r="S115" s="65" t="s">
        <v>196</v>
      </c>
      <c r="T115" s="65" t="s">
        <v>196</v>
      </c>
      <c r="U115" s="65" t="s">
        <v>196</v>
      </c>
      <c r="V115" s="65" t="s">
        <v>173</v>
      </c>
      <c r="W115" s="65" t="s">
        <v>599</v>
      </c>
      <c r="X115" s="98" t="s">
        <v>1039</v>
      </c>
      <c r="Y115" s="98" t="s">
        <v>9</v>
      </c>
      <c r="Z115" s="65" t="s">
        <v>775</v>
      </c>
      <c r="AA115" s="65" t="s">
        <v>188</v>
      </c>
      <c r="AB115" s="65">
        <v>7821214689</v>
      </c>
      <c r="AC115" s="65"/>
      <c r="AD115" s="62">
        <v>1</v>
      </c>
      <c r="AE115" s="62">
        <f>AF115/4</f>
        <v>1</v>
      </c>
      <c r="AF115" s="84">
        <v>4</v>
      </c>
      <c r="AG115" s="62" t="s">
        <v>132</v>
      </c>
      <c r="AH115" s="65" t="s">
        <v>835</v>
      </c>
    </row>
    <row r="116" spans="1:35" ht="45" customHeight="1" x14ac:dyDescent="0.2">
      <c r="A116" s="83">
        <v>114</v>
      </c>
      <c r="B116" s="66" t="s">
        <v>1107</v>
      </c>
      <c r="C116" s="67" t="s">
        <v>110</v>
      </c>
      <c r="D116" s="68">
        <v>46174</v>
      </c>
      <c r="E116" s="65" t="s">
        <v>1137</v>
      </c>
      <c r="F116" s="99"/>
      <c r="G116" s="83" t="s">
        <v>1138</v>
      </c>
      <c r="H116" s="65" t="s">
        <v>4</v>
      </c>
      <c r="I116" s="65" t="s">
        <v>198</v>
      </c>
      <c r="J116" s="68">
        <v>46174</v>
      </c>
      <c r="K116" s="62" t="s">
        <v>2</v>
      </c>
      <c r="L116" s="65" t="s">
        <v>196</v>
      </c>
      <c r="M116" s="65" t="s">
        <v>1139</v>
      </c>
      <c r="N116" s="65" t="s">
        <v>196</v>
      </c>
      <c r="O116" s="65" t="s">
        <v>196</v>
      </c>
      <c r="P116" s="65" t="s">
        <v>196</v>
      </c>
      <c r="Q116" s="65" t="s">
        <v>196</v>
      </c>
      <c r="R116" s="65" t="s">
        <v>196</v>
      </c>
      <c r="S116" s="65" t="s">
        <v>196</v>
      </c>
      <c r="T116" s="65" t="s">
        <v>196</v>
      </c>
      <c r="U116" s="65" t="s">
        <v>196</v>
      </c>
      <c r="V116" s="65" t="s">
        <v>175</v>
      </c>
      <c r="W116" s="65" t="s">
        <v>598</v>
      </c>
      <c r="X116" s="65" t="s">
        <v>1047</v>
      </c>
      <c r="Y116" s="65"/>
      <c r="Z116" s="65"/>
      <c r="AA116" s="65"/>
      <c r="AB116" s="65"/>
      <c r="AC116" s="65"/>
      <c r="AD116" s="62"/>
      <c r="AE116" s="62"/>
      <c r="AF116" s="81"/>
      <c r="AG116" s="65" t="s">
        <v>196</v>
      </c>
      <c r="AH116" s="65" t="s">
        <v>196</v>
      </c>
    </row>
    <row r="117" spans="1:35" ht="45" customHeight="1" x14ac:dyDescent="0.2">
      <c r="A117" s="83">
        <v>115</v>
      </c>
      <c r="B117" s="66" t="s">
        <v>1103</v>
      </c>
      <c r="C117" s="67" t="s">
        <v>109</v>
      </c>
      <c r="D117" s="68">
        <v>46168</v>
      </c>
      <c r="E117" s="65" t="s">
        <v>1122</v>
      </c>
      <c r="F117" s="36" t="s">
        <v>1319</v>
      </c>
      <c r="G117" s="83" t="s">
        <v>1123</v>
      </c>
      <c r="H117" s="65" t="s">
        <v>4</v>
      </c>
      <c r="I117" s="65" t="s">
        <v>202</v>
      </c>
      <c r="J117" s="68">
        <v>46169</v>
      </c>
      <c r="K117" s="62" t="s">
        <v>2</v>
      </c>
      <c r="L117" s="62" t="s">
        <v>196</v>
      </c>
      <c r="M117" s="65" t="s">
        <v>1504</v>
      </c>
      <c r="N117" s="65" t="s">
        <v>196</v>
      </c>
      <c r="O117" s="65" t="s">
        <v>196</v>
      </c>
      <c r="P117" s="65" t="s">
        <v>196</v>
      </c>
      <c r="Q117" s="65" t="s">
        <v>196</v>
      </c>
      <c r="R117" s="65" t="s">
        <v>196</v>
      </c>
      <c r="S117" s="65" t="s">
        <v>196</v>
      </c>
      <c r="T117" s="65" t="s">
        <v>196</v>
      </c>
      <c r="U117" s="65" t="s">
        <v>196</v>
      </c>
      <c r="V117" s="65" t="s">
        <v>176</v>
      </c>
      <c r="W117" s="65" t="s">
        <v>598</v>
      </c>
      <c r="X117" s="65" t="s">
        <v>1047</v>
      </c>
      <c r="Y117" s="65"/>
      <c r="Z117" s="65"/>
      <c r="AA117" s="65"/>
      <c r="AB117" s="65" t="s">
        <v>1125</v>
      </c>
      <c r="AC117" s="65"/>
      <c r="AD117" s="62">
        <v>0</v>
      </c>
      <c r="AE117" s="62">
        <v>0</v>
      </c>
      <c r="AF117" s="81"/>
      <c r="AG117" s="65" t="s">
        <v>196</v>
      </c>
      <c r="AH117" s="65" t="s">
        <v>196</v>
      </c>
    </row>
    <row r="118" spans="1:35" ht="45" customHeight="1" x14ac:dyDescent="0.2">
      <c r="A118" s="83">
        <v>116</v>
      </c>
      <c r="B118" s="66" t="s">
        <v>788</v>
      </c>
      <c r="C118" s="67" t="s">
        <v>109</v>
      </c>
      <c r="D118" s="68">
        <v>46162</v>
      </c>
      <c r="E118" s="65" t="s">
        <v>794</v>
      </c>
      <c r="F118" s="36" t="s">
        <v>548</v>
      </c>
      <c r="G118" s="83" t="s">
        <v>796</v>
      </c>
      <c r="H118" s="65" t="s">
        <v>142</v>
      </c>
      <c r="I118" s="65" t="s">
        <v>198</v>
      </c>
      <c r="J118" s="68">
        <v>46162</v>
      </c>
      <c r="K118" s="62" t="s">
        <v>2</v>
      </c>
      <c r="L118" s="62" t="s">
        <v>1032</v>
      </c>
      <c r="M118" s="65" t="s">
        <v>1085</v>
      </c>
      <c r="N118" s="65" t="s">
        <v>196</v>
      </c>
      <c r="O118" s="65" t="s">
        <v>196</v>
      </c>
      <c r="P118" s="65" t="s">
        <v>196</v>
      </c>
      <c r="Q118" s="65" t="s">
        <v>196</v>
      </c>
      <c r="R118" s="65" t="s">
        <v>2</v>
      </c>
      <c r="S118" s="65" t="s">
        <v>1365</v>
      </c>
      <c r="T118" s="65"/>
      <c r="U118" s="65"/>
      <c r="V118" s="65" t="s">
        <v>174</v>
      </c>
      <c r="W118" s="65" t="s">
        <v>599</v>
      </c>
      <c r="X118" s="98" t="s">
        <v>166</v>
      </c>
      <c r="Y118" s="98" t="s">
        <v>42</v>
      </c>
      <c r="Z118" s="65" t="s">
        <v>795</v>
      </c>
      <c r="AA118" s="65" t="s">
        <v>188</v>
      </c>
      <c r="AB118" s="65">
        <v>7751023519</v>
      </c>
      <c r="AC118" s="65"/>
      <c r="AD118" s="62">
        <v>1</v>
      </c>
      <c r="AE118" s="62">
        <f>AF118/4</f>
        <v>0</v>
      </c>
      <c r="AF118" s="81"/>
      <c r="AG118" s="62" t="s">
        <v>134</v>
      </c>
      <c r="AH118" s="65" t="s">
        <v>840</v>
      </c>
    </row>
    <row r="119" spans="1:35" ht="45" customHeight="1" x14ac:dyDescent="0.2">
      <c r="A119" s="83">
        <v>117</v>
      </c>
      <c r="B119" s="66" t="s">
        <v>787</v>
      </c>
      <c r="C119" s="67" t="s">
        <v>109</v>
      </c>
      <c r="D119" s="68">
        <v>46162</v>
      </c>
      <c r="E119" s="65" t="s">
        <v>791</v>
      </c>
      <c r="F119" s="36" t="s">
        <v>548</v>
      </c>
      <c r="G119" s="83" t="s">
        <v>793</v>
      </c>
      <c r="H119" s="65" t="s">
        <v>142</v>
      </c>
      <c r="I119" s="65" t="s">
        <v>198</v>
      </c>
      <c r="J119" s="68">
        <v>46162</v>
      </c>
      <c r="K119" s="62" t="s">
        <v>2</v>
      </c>
      <c r="L119" s="62" t="s">
        <v>1031</v>
      </c>
      <c r="M119" s="65" t="s">
        <v>1086</v>
      </c>
      <c r="N119" s="65" t="s">
        <v>2</v>
      </c>
      <c r="O119" s="65" t="s">
        <v>1875</v>
      </c>
      <c r="P119" s="65" t="s">
        <v>3</v>
      </c>
      <c r="Q119" s="65" t="s">
        <v>196</v>
      </c>
      <c r="R119" s="65" t="s">
        <v>196</v>
      </c>
      <c r="S119" s="65" t="s">
        <v>196</v>
      </c>
      <c r="T119" s="65" t="s">
        <v>196</v>
      </c>
      <c r="U119" s="65" t="s">
        <v>196</v>
      </c>
      <c r="V119" s="65" t="s">
        <v>174</v>
      </c>
      <c r="W119" s="65" t="s">
        <v>599</v>
      </c>
      <c r="X119" s="98" t="s">
        <v>1039</v>
      </c>
      <c r="Y119" s="98" t="s">
        <v>35</v>
      </c>
      <c r="Z119" s="65" t="s">
        <v>792</v>
      </c>
      <c r="AA119" s="65" t="s">
        <v>188</v>
      </c>
      <c r="AB119" s="65">
        <v>7713290879</v>
      </c>
      <c r="AC119" s="65"/>
      <c r="AD119" s="62">
        <v>1</v>
      </c>
      <c r="AE119" s="62">
        <f>AF119/4</f>
        <v>0</v>
      </c>
      <c r="AF119" s="81"/>
      <c r="AG119" s="62" t="s">
        <v>134</v>
      </c>
      <c r="AH119" s="65" t="s">
        <v>840</v>
      </c>
    </row>
    <row r="120" spans="1:35" ht="63.75" customHeight="1" x14ac:dyDescent="0.2">
      <c r="A120" s="83">
        <v>118</v>
      </c>
      <c r="B120" s="66" t="s">
        <v>790</v>
      </c>
      <c r="C120" s="67" t="s">
        <v>109</v>
      </c>
      <c r="D120" s="68">
        <v>46162</v>
      </c>
      <c r="E120" s="65" t="s">
        <v>801</v>
      </c>
      <c r="F120" s="36" t="s">
        <v>548</v>
      </c>
      <c r="G120" s="83" t="s">
        <v>1036</v>
      </c>
      <c r="H120" s="65" t="s">
        <v>142</v>
      </c>
      <c r="I120" s="65" t="s">
        <v>198</v>
      </c>
      <c r="J120" s="68">
        <v>46162</v>
      </c>
      <c r="K120" s="62" t="s">
        <v>2</v>
      </c>
      <c r="L120" s="62" t="s">
        <v>1035</v>
      </c>
      <c r="M120" s="65" t="s">
        <v>1087</v>
      </c>
      <c r="N120" s="65" t="s">
        <v>2</v>
      </c>
      <c r="O120" s="65" t="s">
        <v>1875</v>
      </c>
      <c r="P120" s="65" t="s">
        <v>3</v>
      </c>
      <c r="Q120" s="65" t="s">
        <v>196</v>
      </c>
      <c r="R120" s="65" t="s">
        <v>196</v>
      </c>
      <c r="S120" s="65" t="s">
        <v>196</v>
      </c>
      <c r="T120" s="65" t="s">
        <v>196</v>
      </c>
      <c r="U120" s="65" t="s">
        <v>196</v>
      </c>
      <c r="V120" s="65" t="s">
        <v>174</v>
      </c>
      <c r="W120" s="65" t="s">
        <v>599</v>
      </c>
      <c r="X120" s="98" t="s">
        <v>1039</v>
      </c>
      <c r="Y120" s="98" t="s">
        <v>18</v>
      </c>
      <c r="Z120" s="65"/>
      <c r="AA120" s="65" t="s">
        <v>188</v>
      </c>
      <c r="AB120" s="65">
        <v>7715263559</v>
      </c>
      <c r="AC120" s="65"/>
      <c r="AD120" s="62">
        <v>1</v>
      </c>
      <c r="AE120" s="62">
        <v>0</v>
      </c>
      <c r="AF120" s="81"/>
      <c r="AG120" s="62" t="s">
        <v>134</v>
      </c>
      <c r="AH120" s="65" t="s">
        <v>840</v>
      </c>
    </row>
    <row r="121" spans="1:35" ht="45" customHeight="1" x14ac:dyDescent="0.2">
      <c r="A121" s="83">
        <v>119</v>
      </c>
      <c r="B121" s="66" t="s">
        <v>1788</v>
      </c>
      <c r="C121" s="67" t="s">
        <v>109</v>
      </c>
      <c r="D121" s="68">
        <v>46162</v>
      </c>
      <c r="E121" s="65" t="s">
        <v>799</v>
      </c>
      <c r="F121" s="36" t="s">
        <v>548</v>
      </c>
      <c r="G121" s="83" t="s">
        <v>800</v>
      </c>
      <c r="H121" s="65" t="s">
        <v>142</v>
      </c>
      <c r="I121" s="65" t="s">
        <v>198</v>
      </c>
      <c r="J121" s="68">
        <v>46162</v>
      </c>
      <c r="K121" s="62" t="s">
        <v>2</v>
      </c>
      <c r="L121" s="62" t="s">
        <v>1034</v>
      </c>
      <c r="M121" s="65" t="s">
        <v>1084</v>
      </c>
      <c r="N121" s="65" t="s">
        <v>2</v>
      </c>
      <c r="O121" s="65" t="s">
        <v>1093</v>
      </c>
      <c r="P121" s="65" t="s">
        <v>196</v>
      </c>
      <c r="Q121" s="65" t="s">
        <v>196</v>
      </c>
      <c r="R121" s="65" t="s">
        <v>196</v>
      </c>
      <c r="S121" s="65" t="s">
        <v>196</v>
      </c>
      <c r="T121" s="65" t="s">
        <v>196</v>
      </c>
      <c r="U121" s="65" t="s">
        <v>196</v>
      </c>
      <c r="V121" s="65" t="s">
        <v>173</v>
      </c>
      <c r="W121" s="65" t="s">
        <v>599</v>
      </c>
      <c r="X121" s="98" t="s">
        <v>1039</v>
      </c>
      <c r="Y121" s="98" t="s">
        <v>27</v>
      </c>
      <c r="Z121" s="65"/>
      <c r="AA121" s="65" t="s">
        <v>189</v>
      </c>
      <c r="AB121" s="65">
        <v>7713560809</v>
      </c>
      <c r="AC121" s="65"/>
      <c r="AD121" s="62">
        <v>1</v>
      </c>
      <c r="AE121" s="62">
        <f>AF121/4</f>
        <v>0</v>
      </c>
      <c r="AF121" s="81"/>
      <c r="AG121" s="62" t="s">
        <v>134</v>
      </c>
      <c r="AH121" s="65" t="s">
        <v>840</v>
      </c>
    </row>
    <row r="122" spans="1:35" ht="45" customHeight="1" x14ac:dyDescent="0.2">
      <c r="A122" s="83">
        <v>120</v>
      </c>
      <c r="B122" s="66" t="s">
        <v>789</v>
      </c>
      <c r="C122" s="67" t="s">
        <v>109</v>
      </c>
      <c r="D122" s="68">
        <v>46162</v>
      </c>
      <c r="E122" s="65" t="s">
        <v>797</v>
      </c>
      <c r="F122" s="36" t="s">
        <v>548</v>
      </c>
      <c r="G122" s="83" t="s">
        <v>798</v>
      </c>
      <c r="H122" s="65" t="s">
        <v>142</v>
      </c>
      <c r="I122" s="65" t="s">
        <v>198</v>
      </c>
      <c r="J122" s="68">
        <v>46162</v>
      </c>
      <c r="K122" s="62" t="s">
        <v>2</v>
      </c>
      <c r="L122" s="62" t="s">
        <v>1033</v>
      </c>
      <c r="M122" s="65" t="s">
        <v>1088</v>
      </c>
      <c r="N122" s="65" t="s">
        <v>196</v>
      </c>
      <c r="O122" s="65" t="s">
        <v>196</v>
      </c>
      <c r="P122" s="65" t="s">
        <v>196</v>
      </c>
      <c r="Q122" s="65" t="s">
        <v>196</v>
      </c>
      <c r="R122" s="65" t="s">
        <v>196</v>
      </c>
      <c r="S122" s="65" t="s">
        <v>196</v>
      </c>
      <c r="T122" s="65" t="s">
        <v>196</v>
      </c>
      <c r="U122" s="65" t="s">
        <v>196</v>
      </c>
      <c r="V122" s="65" t="s">
        <v>173</v>
      </c>
      <c r="W122" s="65" t="s">
        <v>599</v>
      </c>
      <c r="X122" s="98" t="s">
        <v>1039</v>
      </c>
      <c r="Y122" s="98" t="s">
        <v>84</v>
      </c>
      <c r="Z122" s="65" t="s">
        <v>719</v>
      </c>
      <c r="AA122" s="65" t="s">
        <v>189</v>
      </c>
      <c r="AB122" s="65">
        <v>7752069491</v>
      </c>
      <c r="AC122" s="65"/>
      <c r="AD122" s="62">
        <v>1</v>
      </c>
      <c r="AE122" s="62">
        <f>AF122/4</f>
        <v>0</v>
      </c>
      <c r="AF122" s="81"/>
      <c r="AG122" s="62" t="s">
        <v>132</v>
      </c>
      <c r="AH122" s="65" t="s">
        <v>835</v>
      </c>
    </row>
    <row r="123" spans="1:35" ht="45" customHeight="1" x14ac:dyDescent="0.2">
      <c r="A123" s="83">
        <v>121</v>
      </c>
      <c r="B123" s="66" t="s">
        <v>1094</v>
      </c>
      <c r="C123" s="67" t="s">
        <v>109</v>
      </c>
      <c r="D123" s="68">
        <v>46168</v>
      </c>
      <c r="E123" s="65" t="s">
        <v>1095</v>
      </c>
      <c r="F123" s="36" t="s">
        <v>548</v>
      </c>
      <c r="G123" s="83" t="s">
        <v>1097</v>
      </c>
      <c r="H123" s="65" t="s">
        <v>142</v>
      </c>
      <c r="I123" s="65" t="s">
        <v>198</v>
      </c>
      <c r="J123" s="68">
        <v>46169</v>
      </c>
      <c r="K123" s="62" t="s">
        <v>2</v>
      </c>
      <c r="L123" s="62" t="s">
        <v>1098</v>
      </c>
      <c r="M123" s="65" t="s">
        <v>1100</v>
      </c>
      <c r="N123" s="65" t="s">
        <v>196</v>
      </c>
      <c r="O123" s="65" t="s">
        <v>196</v>
      </c>
      <c r="P123" s="65" t="s">
        <v>196</v>
      </c>
      <c r="Q123" s="65" t="s">
        <v>196</v>
      </c>
      <c r="R123" s="65" t="s">
        <v>196</v>
      </c>
      <c r="S123" s="65" t="s">
        <v>196</v>
      </c>
      <c r="T123" s="65" t="s">
        <v>196</v>
      </c>
      <c r="U123" s="65" t="s">
        <v>196</v>
      </c>
      <c r="V123" s="65" t="s">
        <v>173</v>
      </c>
      <c r="W123" s="65" t="s">
        <v>599</v>
      </c>
      <c r="X123" s="98" t="s">
        <v>166</v>
      </c>
      <c r="Y123" s="98" t="s">
        <v>67</v>
      </c>
      <c r="Z123" s="65" t="s">
        <v>1096</v>
      </c>
      <c r="AA123" s="65" t="s">
        <v>188</v>
      </c>
      <c r="AB123" s="65" t="s">
        <v>1099</v>
      </c>
      <c r="AC123" s="65"/>
      <c r="AD123" s="62">
        <v>1</v>
      </c>
      <c r="AE123" s="62">
        <v>1</v>
      </c>
      <c r="AF123" s="81"/>
      <c r="AG123" s="62" t="s">
        <v>134</v>
      </c>
      <c r="AH123" s="65" t="s">
        <v>840</v>
      </c>
    </row>
    <row r="124" spans="1:35" ht="45" customHeight="1" x14ac:dyDescent="0.2">
      <c r="A124" s="83">
        <v>122</v>
      </c>
      <c r="B124" s="66" t="s">
        <v>1101</v>
      </c>
      <c r="C124" s="67" t="s">
        <v>109</v>
      </c>
      <c r="D124" s="68">
        <v>46168</v>
      </c>
      <c r="E124" s="65" t="s">
        <v>1110</v>
      </c>
      <c r="F124" s="36" t="s">
        <v>548</v>
      </c>
      <c r="G124" s="83" t="s">
        <v>1112</v>
      </c>
      <c r="H124" s="65" t="s">
        <v>142</v>
      </c>
      <c r="I124" s="65" t="s">
        <v>198</v>
      </c>
      <c r="J124" s="68">
        <v>46169</v>
      </c>
      <c r="K124" s="62" t="s">
        <v>2</v>
      </c>
      <c r="L124" s="62" t="s">
        <v>1113</v>
      </c>
      <c r="M124" s="65" t="s">
        <v>1115</v>
      </c>
      <c r="N124" s="65" t="s">
        <v>196</v>
      </c>
      <c r="O124" s="65" t="s">
        <v>196</v>
      </c>
      <c r="P124" s="65" t="s">
        <v>196</v>
      </c>
      <c r="Q124" s="65" t="s">
        <v>196</v>
      </c>
      <c r="R124" s="65" t="s">
        <v>196</v>
      </c>
      <c r="S124" s="65" t="s">
        <v>196</v>
      </c>
      <c r="T124" s="65" t="s">
        <v>196</v>
      </c>
      <c r="U124" s="65" t="s">
        <v>196</v>
      </c>
      <c r="V124" s="65" t="s">
        <v>173</v>
      </c>
      <c r="W124" s="65" t="s">
        <v>599</v>
      </c>
      <c r="X124" s="98" t="s">
        <v>1039</v>
      </c>
      <c r="Y124" s="98" t="s">
        <v>28</v>
      </c>
      <c r="Z124" s="65" t="s">
        <v>1111</v>
      </c>
      <c r="AA124" s="65" t="s">
        <v>189</v>
      </c>
      <c r="AB124" s="65" t="s">
        <v>1114</v>
      </c>
      <c r="AC124" s="65"/>
      <c r="AD124" s="62">
        <v>1</v>
      </c>
      <c r="AE124" s="62">
        <v>1</v>
      </c>
      <c r="AF124" s="81"/>
      <c r="AG124" s="62" t="s">
        <v>132</v>
      </c>
      <c r="AH124" s="65" t="s">
        <v>835</v>
      </c>
    </row>
    <row r="125" spans="1:35" ht="45" customHeight="1" x14ac:dyDescent="0.2">
      <c r="A125" s="83">
        <v>123</v>
      </c>
      <c r="B125" s="66" t="s">
        <v>1102</v>
      </c>
      <c r="C125" s="67" t="s">
        <v>109</v>
      </c>
      <c r="D125" s="68">
        <v>46168</v>
      </c>
      <c r="E125" s="65" t="s">
        <v>1116</v>
      </c>
      <c r="F125" s="36" t="s">
        <v>548</v>
      </c>
      <c r="G125" s="83" t="s">
        <v>1118</v>
      </c>
      <c r="H125" s="65" t="s">
        <v>142</v>
      </c>
      <c r="I125" s="65" t="s">
        <v>198</v>
      </c>
      <c r="J125" s="68">
        <v>46169</v>
      </c>
      <c r="K125" s="62" t="s">
        <v>2</v>
      </c>
      <c r="L125" s="62" t="s">
        <v>1119</v>
      </c>
      <c r="M125" s="65" t="s">
        <v>1121</v>
      </c>
      <c r="N125" s="65" t="s">
        <v>196</v>
      </c>
      <c r="O125" s="65" t="s">
        <v>196</v>
      </c>
      <c r="P125" s="65" t="s">
        <v>196</v>
      </c>
      <c r="Q125" s="65" t="s">
        <v>196</v>
      </c>
      <c r="R125" s="65" t="s">
        <v>196</v>
      </c>
      <c r="S125" s="65" t="s">
        <v>196</v>
      </c>
      <c r="T125" s="65" t="s">
        <v>196</v>
      </c>
      <c r="U125" s="65" t="s">
        <v>196</v>
      </c>
      <c r="V125" s="65" t="s">
        <v>173</v>
      </c>
      <c r="W125" s="65" t="s">
        <v>599</v>
      </c>
      <c r="X125" s="98" t="s">
        <v>166</v>
      </c>
      <c r="Y125" s="98" t="s">
        <v>15</v>
      </c>
      <c r="Z125" s="65" t="s">
        <v>1117</v>
      </c>
      <c r="AA125" s="65" t="s">
        <v>189</v>
      </c>
      <c r="AB125" s="65" t="s">
        <v>1120</v>
      </c>
      <c r="AC125" s="65"/>
      <c r="AD125" s="62">
        <v>1</v>
      </c>
      <c r="AE125" s="62">
        <v>1</v>
      </c>
      <c r="AF125" s="81"/>
      <c r="AG125" s="62" t="s">
        <v>132</v>
      </c>
      <c r="AH125" s="65" t="s">
        <v>835</v>
      </c>
    </row>
    <row r="126" spans="1:35" ht="45" customHeight="1" x14ac:dyDescent="0.2">
      <c r="A126" s="83">
        <v>124</v>
      </c>
      <c r="B126" s="66" t="s">
        <v>1166</v>
      </c>
      <c r="C126" s="67" t="s">
        <v>110</v>
      </c>
      <c r="D126" s="68">
        <v>46175</v>
      </c>
      <c r="E126" s="65" t="s">
        <v>1167</v>
      </c>
      <c r="F126" s="36" t="s">
        <v>548</v>
      </c>
      <c r="G126" s="83" t="s">
        <v>1169</v>
      </c>
      <c r="H126" s="65" t="s">
        <v>142</v>
      </c>
      <c r="I126" s="65" t="s">
        <v>198</v>
      </c>
      <c r="J126" s="68">
        <v>46175</v>
      </c>
      <c r="K126" s="62" t="s">
        <v>2</v>
      </c>
      <c r="L126" s="65" t="s">
        <v>1168</v>
      </c>
      <c r="M126" s="65" t="s">
        <v>1236</v>
      </c>
      <c r="N126" s="65" t="s">
        <v>196</v>
      </c>
      <c r="O126" s="65" t="s">
        <v>196</v>
      </c>
      <c r="P126" s="65" t="s">
        <v>196</v>
      </c>
      <c r="Q126" s="65" t="s">
        <v>196</v>
      </c>
      <c r="R126" s="65" t="s">
        <v>196</v>
      </c>
      <c r="S126" s="65" t="s">
        <v>196</v>
      </c>
      <c r="T126" s="65" t="s">
        <v>196</v>
      </c>
      <c r="U126" s="65" t="s">
        <v>196</v>
      </c>
      <c r="V126" s="65" t="s">
        <v>173</v>
      </c>
      <c r="W126" s="65" t="s">
        <v>599</v>
      </c>
      <c r="X126" s="98" t="s">
        <v>1042</v>
      </c>
      <c r="Y126" s="98" t="s">
        <v>74</v>
      </c>
      <c r="Z126" s="65"/>
      <c r="AA126" s="65"/>
      <c r="AB126" s="65"/>
      <c r="AC126" s="65"/>
      <c r="AD126" s="62"/>
      <c r="AE126" s="62"/>
      <c r="AF126" s="81"/>
      <c r="AG126" s="62"/>
      <c r="AH126" s="65" t="s">
        <v>970</v>
      </c>
    </row>
    <row r="127" spans="1:35" ht="84.75" customHeight="1" x14ac:dyDescent="0.2">
      <c r="A127" s="83">
        <v>125</v>
      </c>
      <c r="B127" s="66" t="s">
        <v>1183</v>
      </c>
      <c r="C127" s="133" t="s">
        <v>110</v>
      </c>
      <c r="D127" s="129">
        <v>46175</v>
      </c>
      <c r="E127" s="65" t="s">
        <v>1185</v>
      </c>
      <c r="F127" s="134" t="s">
        <v>548</v>
      </c>
      <c r="G127" s="83" t="s">
        <v>1187</v>
      </c>
      <c r="H127" s="65" t="s">
        <v>140</v>
      </c>
      <c r="I127" s="135" t="s">
        <v>198</v>
      </c>
      <c r="J127" s="68">
        <v>46175</v>
      </c>
      <c r="K127" s="136" t="s">
        <v>2</v>
      </c>
      <c r="L127" s="65" t="s">
        <v>1184</v>
      </c>
      <c r="M127" s="128" t="s">
        <v>1605</v>
      </c>
      <c r="N127" s="65" t="s">
        <v>196</v>
      </c>
      <c r="O127" s="65" t="s">
        <v>196</v>
      </c>
      <c r="P127" s="65" t="s">
        <v>196</v>
      </c>
      <c r="Q127" s="65" t="s">
        <v>196</v>
      </c>
      <c r="R127" s="137" t="s">
        <v>196</v>
      </c>
      <c r="S127" s="65" t="s">
        <v>196</v>
      </c>
      <c r="T127" s="65" t="s">
        <v>196</v>
      </c>
      <c r="U127" s="65" t="s">
        <v>196</v>
      </c>
      <c r="V127" s="65" t="s">
        <v>173</v>
      </c>
      <c r="W127" s="128" t="s">
        <v>599</v>
      </c>
      <c r="X127" s="98" t="s">
        <v>1040</v>
      </c>
      <c r="Y127" s="98" t="s">
        <v>57</v>
      </c>
      <c r="Z127" s="65" t="s">
        <v>1186</v>
      </c>
      <c r="AA127" s="137"/>
      <c r="AB127" s="65"/>
      <c r="AC127" s="65"/>
      <c r="AD127" s="62"/>
      <c r="AE127" s="62"/>
      <c r="AF127" s="81"/>
      <c r="AG127" s="130"/>
      <c r="AH127" s="65" t="s">
        <v>970</v>
      </c>
      <c r="AI127" s="143"/>
    </row>
    <row r="128" spans="1:35" ht="45" customHeight="1" x14ac:dyDescent="0.2">
      <c r="A128" s="83">
        <v>126</v>
      </c>
      <c r="B128" s="66" t="s">
        <v>1162</v>
      </c>
      <c r="C128" s="67" t="s">
        <v>110</v>
      </c>
      <c r="D128" s="68">
        <v>46175</v>
      </c>
      <c r="E128" s="65" t="s">
        <v>1163</v>
      </c>
      <c r="F128" s="36" t="s">
        <v>548</v>
      </c>
      <c r="G128" s="83" t="s">
        <v>1165</v>
      </c>
      <c r="H128" s="65" t="s">
        <v>142</v>
      </c>
      <c r="I128" s="65" t="s">
        <v>198</v>
      </c>
      <c r="J128" s="68">
        <v>46175</v>
      </c>
      <c r="K128" s="62" t="s">
        <v>2</v>
      </c>
      <c r="L128" s="65" t="s">
        <v>1164</v>
      </c>
      <c r="M128" s="65" t="s">
        <v>1237</v>
      </c>
      <c r="N128" s="65" t="s">
        <v>196</v>
      </c>
      <c r="O128" s="65" t="s">
        <v>196</v>
      </c>
      <c r="P128" s="65" t="s">
        <v>196</v>
      </c>
      <c r="Q128" s="65" t="s">
        <v>196</v>
      </c>
      <c r="R128" s="65" t="s">
        <v>196</v>
      </c>
      <c r="S128" s="65" t="s">
        <v>196</v>
      </c>
      <c r="T128" s="65" t="s">
        <v>196</v>
      </c>
      <c r="U128" s="65" t="s">
        <v>196</v>
      </c>
      <c r="V128" s="65" t="s">
        <v>173</v>
      </c>
      <c r="W128" s="65" t="s">
        <v>599</v>
      </c>
      <c r="X128" s="98" t="s">
        <v>166</v>
      </c>
      <c r="Y128" s="98" t="s">
        <v>74</v>
      </c>
      <c r="Z128" s="65" t="s">
        <v>970</v>
      </c>
      <c r="AA128" s="65"/>
      <c r="AB128" s="65"/>
      <c r="AC128" s="65"/>
      <c r="AD128" s="62"/>
      <c r="AE128" s="62"/>
      <c r="AF128" s="81"/>
      <c r="AG128" s="62"/>
      <c r="AH128" s="65" t="s">
        <v>970</v>
      </c>
      <c r="AI128" s="144"/>
    </row>
    <row r="129" spans="1:35" ht="45" customHeight="1" x14ac:dyDescent="0.2">
      <c r="A129" s="83">
        <v>127</v>
      </c>
      <c r="B129" s="66" t="s">
        <v>1175</v>
      </c>
      <c r="C129" s="67" t="s">
        <v>110</v>
      </c>
      <c r="D129" s="68">
        <v>46175</v>
      </c>
      <c r="E129" s="65" t="s">
        <v>1177</v>
      </c>
      <c r="F129" s="36" t="s">
        <v>548</v>
      </c>
      <c r="G129" s="83" t="s">
        <v>1179</v>
      </c>
      <c r="H129" s="65" t="s">
        <v>142</v>
      </c>
      <c r="I129" s="65" t="s">
        <v>198</v>
      </c>
      <c r="J129" s="68">
        <v>46175</v>
      </c>
      <c r="K129" s="62" t="s">
        <v>2</v>
      </c>
      <c r="L129" s="65" t="s">
        <v>1176</v>
      </c>
      <c r="M129" s="65" t="s">
        <v>1238</v>
      </c>
      <c r="N129" s="65" t="s">
        <v>196</v>
      </c>
      <c r="O129" s="65" t="s">
        <v>196</v>
      </c>
      <c r="P129" s="65" t="s">
        <v>196</v>
      </c>
      <c r="Q129" s="65" t="s">
        <v>196</v>
      </c>
      <c r="R129" s="65" t="s">
        <v>166</v>
      </c>
      <c r="S129" s="65"/>
      <c r="T129" s="65"/>
      <c r="U129" s="65"/>
      <c r="V129" s="65" t="s">
        <v>173</v>
      </c>
      <c r="W129" s="65" t="s">
        <v>599</v>
      </c>
      <c r="X129" s="98" t="s">
        <v>166</v>
      </c>
      <c r="Y129" s="98" t="s">
        <v>84</v>
      </c>
      <c r="Z129" s="65" t="s">
        <v>1178</v>
      </c>
      <c r="AA129" s="65"/>
      <c r="AB129" s="65"/>
      <c r="AC129" s="65"/>
      <c r="AD129" s="62"/>
      <c r="AE129" s="62"/>
      <c r="AF129" s="81"/>
      <c r="AG129" s="62"/>
      <c r="AH129" s="65" t="s">
        <v>835</v>
      </c>
      <c r="AI129" s="144"/>
    </row>
    <row r="130" spans="1:35" ht="67.5" customHeight="1" x14ac:dyDescent="0.2">
      <c r="A130" s="83">
        <v>128</v>
      </c>
      <c r="B130" s="66" t="s">
        <v>1153</v>
      </c>
      <c r="C130" s="67" t="s">
        <v>110</v>
      </c>
      <c r="D130" s="68">
        <v>46175</v>
      </c>
      <c r="E130" s="65" t="s">
        <v>1154</v>
      </c>
      <c r="F130" s="36" t="s">
        <v>548</v>
      </c>
      <c r="G130" s="83" t="s">
        <v>1156</v>
      </c>
      <c r="H130" s="65" t="s">
        <v>140</v>
      </c>
      <c r="I130" s="65" t="s">
        <v>198</v>
      </c>
      <c r="J130" s="68">
        <v>46175</v>
      </c>
      <c r="K130" s="62" t="s">
        <v>2</v>
      </c>
      <c r="L130" s="65" t="s">
        <v>1152</v>
      </c>
      <c r="M130" s="65" t="s">
        <v>1442</v>
      </c>
      <c r="N130" s="65" t="s">
        <v>196</v>
      </c>
      <c r="O130" s="65" t="s">
        <v>196</v>
      </c>
      <c r="P130" s="65" t="s">
        <v>196</v>
      </c>
      <c r="Q130" s="65" t="s">
        <v>196</v>
      </c>
      <c r="R130" s="65" t="s">
        <v>2</v>
      </c>
      <c r="S130" s="65" t="s">
        <v>1428</v>
      </c>
      <c r="T130" s="65"/>
      <c r="U130" s="65"/>
      <c r="V130" s="65" t="s">
        <v>173</v>
      </c>
      <c r="W130" s="65" t="s">
        <v>599</v>
      </c>
      <c r="X130" s="98" t="s">
        <v>166</v>
      </c>
      <c r="Y130" s="98" t="s">
        <v>74</v>
      </c>
      <c r="Z130" s="65" t="s">
        <v>1155</v>
      </c>
      <c r="AA130" s="65"/>
      <c r="AB130" s="65"/>
      <c r="AC130" s="65"/>
      <c r="AD130" s="62"/>
      <c r="AE130" s="62"/>
      <c r="AF130" s="81"/>
      <c r="AG130" s="62"/>
      <c r="AH130" s="65" t="s">
        <v>970</v>
      </c>
      <c r="AI130" s="144"/>
    </row>
    <row r="131" spans="1:35" ht="45" customHeight="1" x14ac:dyDescent="0.2">
      <c r="A131" s="83">
        <v>129</v>
      </c>
      <c r="B131" s="66" t="s">
        <v>1157</v>
      </c>
      <c r="C131" s="67" t="s">
        <v>110</v>
      </c>
      <c r="D131" s="68">
        <v>46175</v>
      </c>
      <c r="E131" s="65" t="s">
        <v>1158</v>
      </c>
      <c r="F131" s="36" t="s">
        <v>548</v>
      </c>
      <c r="G131" s="83" t="s">
        <v>1161</v>
      </c>
      <c r="H131" s="65" t="s">
        <v>142</v>
      </c>
      <c r="I131" s="65" t="s">
        <v>198</v>
      </c>
      <c r="J131" s="68">
        <v>46175</v>
      </c>
      <c r="K131" s="62" t="s">
        <v>2</v>
      </c>
      <c r="L131" s="65" t="s">
        <v>1159</v>
      </c>
      <c r="M131" s="65" t="s">
        <v>1239</v>
      </c>
      <c r="N131" s="65" t="s">
        <v>196</v>
      </c>
      <c r="O131" s="65" t="s">
        <v>196</v>
      </c>
      <c r="P131" s="65" t="s">
        <v>196</v>
      </c>
      <c r="Q131" s="65" t="s">
        <v>196</v>
      </c>
      <c r="R131" s="65" t="s">
        <v>196</v>
      </c>
      <c r="S131" s="65" t="s">
        <v>196</v>
      </c>
      <c r="T131" s="65" t="s">
        <v>196</v>
      </c>
      <c r="U131" s="65" t="s">
        <v>196</v>
      </c>
      <c r="V131" s="65" t="s">
        <v>173</v>
      </c>
      <c r="W131" s="65" t="s">
        <v>599</v>
      </c>
      <c r="X131" s="98" t="s">
        <v>166</v>
      </c>
      <c r="Y131" s="98" t="s">
        <v>74</v>
      </c>
      <c r="Z131" s="65" t="s">
        <v>1160</v>
      </c>
      <c r="AA131" s="65"/>
      <c r="AB131" s="65"/>
      <c r="AC131" s="65"/>
      <c r="AD131" s="62"/>
      <c r="AE131" s="62"/>
      <c r="AF131" s="81"/>
      <c r="AG131" s="62"/>
      <c r="AH131" s="65" t="s">
        <v>970</v>
      </c>
      <c r="AI131" s="144"/>
    </row>
    <row r="132" spans="1:35" ht="45" customHeight="1" x14ac:dyDescent="0.2">
      <c r="A132" s="83">
        <v>130</v>
      </c>
      <c r="B132" s="66" t="s">
        <v>1147</v>
      </c>
      <c r="C132" s="67" t="s">
        <v>110</v>
      </c>
      <c r="D132" s="68">
        <v>46175</v>
      </c>
      <c r="E132" s="65" t="s">
        <v>1148</v>
      </c>
      <c r="F132" s="36" t="s">
        <v>548</v>
      </c>
      <c r="G132" s="83" t="s">
        <v>1150</v>
      </c>
      <c r="H132" s="65" t="s">
        <v>142</v>
      </c>
      <c r="I132" s="65" t="s">
        <v>198</v>
      </c>
      <c r="J132" s="68">
        <v>46175</v>
      </c>
      <c r="K132" s="62" t="s">
        <v>2</v>
      </c>
      <c r="L132" s="65" t="s">
        <v>1149</v>
      </c>
      <c r="M132" s="65" t="s">
        <v>1240</v>
      </c>
      <c r="N132" s="65" t="s">
        <v>196</v>
      </c>
      <c r="O132" s="65" t="s">
        <v>196</v>
      </c>
      <c r="P132" s="65" t="s">
        <v>196</v>
      </c>
      <c r="Q132" s="65" t="s">
        <v>196</v>
      </c>
      <c r="R132" s="65" t="s">
        <v>196</v>
      </c>
      <c r="S132" s="65" t="s">
        <v>196</v>
      </c>
      <c r="T132" s="65" t="s">
        <v>196</v>
      </c>
      <c r="U132" s="65" t="s">
        <v>196</v>
      </c>
      <c r="V132" s="65" t="s">
        <v>174</v>
      </c>
      <c r="W132" s="65" t="s">
        <v>599</v>
      </c>
      <c r="X132" s="98" t="s">
        <v>166</v>
      </c>
      <c r="Y132" s="98" t="s">
        <v>57</v>
      </c>
      <c r="Z132" s="65" t="s">
        <v>1151</v>
      </c>
      <c r="AA132" s="65"/>
      <c r="AB132" s="65"/>
      <c r="AC132" s="65"/>
      <c r="AD132" s="62"/>
      <c r="AE132" s="62"/>
      <c r="AF132" s="81"/>
      <c r="AG132" s="62"/>
      <c r="AH132" s="65" t="s">
        <v>970</v>
      </c>
      <c r="AI132" s="144"/>
    </row>
    <row r="133" spans="1:35" ht="45" customHeight="1" x14ac:dyDescent="0.2">
      <c r="A133" s="83">
        <v>131</v>
      </c>
      <c r="B133" s="66" t="s">
        <v>1170</v>
      </c>
      <c r="C133" s="67" t="s">
        <v>110</v>
      </c>
      <c r="D133" s="68">
        <v>46175</v>
      </c>
      <c r="E133" s="65" t="s">
        <v>1171</v>
      </c>
      <c r="F133" s="36" t="s">
        <v>548</v>
      </c>
      <c r="G133" s="83" t="s">
        <v>1174</v>
      </c>
      <c r="H133" s="65" t="s">
        <v>142</v>
      </c>
      <c r="I133" s="65" t="s">
        <v>198</v>
      </c>
      <c r="J133" s="68">
        <v>46175</v>
      </c>
      <c r="K133" s="62" t="s">
        <v>2</v>
      </c>
      <c r="L133" s="65" t="s">
        <v>1172</v>
      </c>
      <c r="M133" s="65" t="s">
        <v>1241</v>
      </c>
      <c r="N133" s="65" t="s">
        <v>196</v>
      </c>
      <c r="O133" s="65" t="s">
        <v>196</v>
      </c>
      <c r="P133" s="65" t="s">
        <v>196</v>
      </c>
      <c r="Q133" s="65" t="s">
        <v>196</v>
      </c>
      <c r="R133" s="65" t="s">
        <v>196</v>
      </c>
      <c r="S133" s="65" t="s">
        <v>196</v>
      </c>
      <c r="T133" s="65" t="s">
        <v>196</v>
      </c>
      <c r="U133" s="65" t="s">
        <v>196</v>
      </c>
      <c r="V133" s="65" t="s">
        <v>173</v>
      </c>
      <c r="W133" s="65" t="s">
        <v>599</v>
      </c>
      <c r="X133" s="98" t="s">
        <v>166</v>
      </c>
      <c r="Y133" s="98" t="s">
        <v>84</v>
      </c>
      <c r="Z133" s="65" t="s">
        <v>1173</v>
      </c>
      <c r="AA133" s="65"/>
      <c r="AB133" s="65"/>
      <c r="AC133" s="65"/>
      <c r="AD133" s="62"/>
      <c r="AE133" s="62"/>
      <c r="AF133" s="81"/>
      <c r="AG133" s="62"/>
      <c r="AH133" s="65" t="s">
        <v>835</v>
      </c>
      <c r="AI133" s="144"/>
    </row>
    <row r="134" spans="1:35" ht="45" customHeight="1" x14ac:dyDescent="0.2">
      <c r="A134" s="83">
        <v>132</v>
      </c>
      <c r="B134" s="66" t="s">
        <v>1197</v>
      </c>
      <c r="C134" s="67" t="s">
        <v>110</v>
      </c>
      <c r="D134" s="68">
        <v>46182</v>
      </c>
      <c r="E134" s="65" t="s">
        <v>1198</v>
      </c>
      <c r="F134" s="36" t="s">
        <v>548</v>
      </c>
      <c r="G134" s="83" t="s">
        <v>1200</v>
      </c>
      <c r="H134" s="65" t="s">
        <v>142</v>
      </c>
      <c r="I134" s="65" t="s">
        <v>198</v>
      </c>
      <c r="J134" s="68">
        <v>46182</v>
      </c>
      <c r="K134" s="62" t="s">
        <v>2</v>
      </c>
      <c r="L134" s="65" t="s">
        <v>1199</v>
      </c>
      <c r="M134" s="65" t="s">
        <v>1311</v>
      </c>
      <c r="N134" s="65" t="s">
        <v>196</v>
      </c>
      <c r="O134" s="65" t="s">
        <v>196</v>
      </c>
      <c r="P134" s="65" t="s">
        <v>196</v>
      </c>
      <c r="Q134" s="65" t="s">
        <v>196</v>
      </c>
      <c r="R134" s="65"/>
      <c r="S134" s="65"/>
      <c r="T134" s="65"/>
      <c r="U134" s="65"/>
      <c r="V134" s="65" t="s">
        <v>173</v>
      </c>
      <c r="W134" s="65" t="s">
        <v>599</v>
      </c>
      <c r="X134" s="98" t="s">
        <v>1042</v>
      </c>
      <c r="Y134" s="98" t="s">
        <v>26</v>
      </c>
      <c r="Z134" s="65"/>
      <c r="AA134" s="65"/>
      <c r="AB134" s="65"/>
      <c r="AC134" s="65"/>
      <c r="AD134" s="62"/>
      <c r="AE134" s="62"/>
      <c r="AF134" s="81"/>
      <c r="AG134" s="62"/>
      <c r="AH134" s="65" t="s">
        <v>970</v>
      </c>
      <c r="AI134" s="144"/>
    </row>
    <row r="135" spans="1:35" ht="45" customHeight="1" x14ac:dyDescent="0.2">
      <c r="A135" s="83">
        <v>133</v>
      </c>
      <c r="B135" s="66" t="s">
        <v>1201</v>
      </c>
      <c r="C135" s="67" t="s">
        <v>110</v>
      </c>
      <c r="D135" s="68">
        <v>46182</v>
      </c>
      <c r="E135" s="65" t="s">
        <v>1202</v>
      </c>
      <c r="F135" s="36" t="s">
        <v>548</v>
      </c>
      <c r="G135" s="83" t="s">
        <v>1207</v>
      </c>
      <c r="H135" s="65" t="s">
        <v>142</v>
      </c>
      <c r="I135" s="65" t="s">
        <v>198</v>
      </c>
      <c r="J135" s="68">
        <v>46182</v>
      </c>
      <c r="K135" s="62" t="s">
        <v>2</v>
      </c>
      <c r="L135" s="65" t="s">
        <v>1203</v>
      </c>
      <c r="M135" s="65" t="s">
        <v>1312</v>
      </c>
      <c r="N135" s="65" t="s">
        <v>196</v>
      </c>
      <c r="O135" s="65" t="s">
        <v>196</v>
      </c>
      <c r="P135" s="65" t="s">
        <v>196</v>
      </c>
      <c r="Q135" s="65" t="s">
        <v>196</v>
      </c>
      <c r="R135" s="65"/>
      <c r="S135" s="65"/>
      <c r="T135" s="65"/>
      <c r="U135" s="65"/>
      <c r="V135" s="65" t="s">
        <v>173</v>
      </c>
      <c r="W135" s="65" t="s">
        <v>599</v>
      </c>
      <c r="X135" s="98" t="s">
        <v>1039</v>
      </c>
      <c r="Y135" s="98" t="s">
        <v>26</v>
      </c>
      <c r="Z135" s="65"/>
      <c r="AA135" s="65"/>
      <c r="AB135" s="65"/>
      <c r="AC135" s="65"/>
      <c r="AD135" s="62"/>
      <c r="AE135" s="62"/>
      <c r="AF135" s="81"/>
      <c r="AG135" s="62"/>
      <c r="AH135" s="65" t="s">
        <v>970</v>
      </c>
      <c r="AI135" s="144"/>
    </row>
    <row r="136" spans="1:35" ht="45" customHeight="1" x14ac:dyDescent="0.2">
      <c r="A136" s="83">
        <v>134</v>
      </c>
      <c r="B136" s="66" t="s">
        <v>1204</v>
      </c>
      <c r="C136" s="67" t="s">
        <v>110</v>
      </c>
      <c r="D136" s="68">
        <v>46182</v>
      </c>
      <c r="E136" s="65" t="s">
        <v>1205</v>
      </c>
      <c r="F136" s="36" t="s">
        <v>548</v>
      </c>
      <c r="G136" s="83" t="s">
        <v>1208</v>
      </c>
      <c r="H136" s="65" t="s">
        <v>142</v>
      </c>
      <c r="I136" s="65" t="s">
        <v>198</v>
      </c>
      <c r="J136" s="68">
        <v>46182</v>
      </c>
      <c r="K136" s="62" t="s">
        <v>2</v>
      </c>
      <c r="L136" s="65" t="s">
        <v>1206</v>
      </c>
      <c r="M136" s="65" t="s">
        <v>1313</v>
      </c>
      <c r="N136" s="65" t="s">
        <v>196</v>
      </c>
      <c r="O136" s="65" t="s">
        <v>196</v>
      </c>
      <c r="P136" s="65" t="s">
        <v>196</v>
      </c>
      <c r="Q136" s="65" t="s">
        <v>196</v>
      </c>
      <c r="R136" s="65"/>
      <c r="S136" s="65"/>
      <c r="T136" s="65"/>
      <c r="U136" s="65"/>
      <c r="V136" s="65" t="s">
        <v>173</v>
      </c>
      <c r="W136" s="65" t="s">
        <v>599</v>
      </c>
      <c r="X136" s="98" t="s">
        <v>1039</v>
      </c>
      <c r="Y136" s="98" t="s">
        <v>30</v>
      </c>
      <c r="Z136" s="65"/>
      <c r="AA136" s="65"/>
      <c r="AB136" s="65"/>
      <c r="AC136" s="65"/>
      <c r="AD136" s="62"/>
      <c r="AE136" s="62"/>
      <c r="AF136" s="81"/>
      <c r="AG136" s="62"/>
      <c r="AH136" s="65" t="s">
        <v>822</v>
      </c>
      <c r="AI136" s="144"/>
    </row>
    <row r="137" spans="1:35" ht="45" customHeight="1" x14ac:dyDescent="0.2">
      <c r="A137" s="83">
        <v>135</v>
      </c>
      <c r="B137" s="66" t="s">
        <v>1220</v>
      </c>
      <c r="C137" s="67" t="s">
        <v>110</v>
      </c>
      <c r="D137" s="68">
        <v>46182</v>
      </c>
      <c r="E137" s="65" t="s">
        <v>1228</v>
      </c>
      <c r="F137" s="36" t="s">
        <v>548</v>
      </c>
      <c r="G137" s="83" t="s">
        <v>1229</v>
      </c>
      <c r="H137" s="65" t="s">
        <v>142</v>
      </c>
      <c r="I137" s="65" t="s">
        <v>198</v>
      </c>
      <c r="J137" s="68">
        <v>46182</v>
      </c>
      <c r="K137" s="62" t="s">
        <v>2</v>
      </c>
      <c r="L137" s="65" t="s">
        <v>1227</v>
      </c>
      <c r="M137" s="65" t="s">
        <v>1314</v>
      </c>
      <c r="N137" s="65" t="s">
        <v>196</v>
      </c>
      <c r="O137" s="65" t="s">
        <v>196</v>
      </c>
      <c r="P137" s="65" t="s">
        <v>196</v>
      </c>
      <c r="Q137" s="65" t="s">
        <v>196</v>
      </c>
      <c r="R137" s="65"/>
      <c r="S137" s="65"/>
      <c r="T137" s="65"/>
      <c r="U137" s="65"/>
      <c r="V137" s="65" t="s">
        <v>173</v>
      </c>
      <c r="W137" s="65" t="s">
        <v>599</v>
      </c>
      <c r="X137" s="98" t="s">
        <v>166</v>
      </c>
      <c r="Y137" s="98" t="s">
        <v>12</v>
      </c>
      <c r="Z137" s="65"/>
      <c r="AA137" s="65"/>
      <c r="AB137" s="65"/>
      <c r="AC137" s="65"/>
      <c r="AD137" s="62"/>
      <c r="AE137" s="62"/>
      <c r="AF137" s="81"/>
      <c r="AG137" s="62"/>
      <c r="AH137" s="65" t="s">
        <v>822</v>
      </c>
      <c r="AI137" s="144"/>
    </row>
    <row r="138" spans="1:35" ht="45" customHeight="1" x14ac:dyDescent="0.2">
      <c r="A138" s="83">
        <v>136</v>
      </c>
      <c r="B138" s="66" t="s">
        <v>1209</v>
      </c>
      <c r="C138" s="67" t="s">
        <v>110</v>
      </c>
      <c r="D138" s="68">
        <v>46182</v>
      </c>
      <c r="E138" s="65" t="s">
        <v>1210</v>
      </c>
      <c r="F138" s="36" t="s">
        <v>548</v>
      </c>
      <c r="G138" s="83" t="s">
        <v>1212</v>
      </c>
      <c r="H138" s="65" t="s">
        <v>142</v>
      </c>
      <c r="I138" s="65" t="s">
        <v>198</v>
      </c>
      <c r="J138" s="68">
        <v>46182</v>
      </c>
      <c r="K138" s="62" t="s">
        <v>2</v>
      </c>
      <c r="L138" s="65" t="s">
        <v>1211</v>
      </c>
      <c r="M138" s="65" t="s">
        <v>1315</v>
      </c>
      <c r="N138" s="65" t="s">
        <v>196</v>
      </c>
      <c r="O138" s="65" t="s">
        <v>196</v>
      </c>
      <c r="P138" s="65" t="s">
        <v>196</v>
      </c>
      <c r="Q138" s="65" t="s">
        <v>196</v>
      </c>
      <c r="R138" s="65"/>
      <c r="S138" s="65"/>
      <c r="T138" s="65"/>
      <c r="U138" s="65"/>
      <c r="V138" s="65" t="s">
        <v>173</v>
      </c>
      <c r="W138" s="65" t="s">
        <v>599</v>
      </c>
      <c r="X138" s="98" t="s">
        <v>166</v>
      </c>
      <c r="Y138" s="98" t="s">
        <v>12</v>
      </c>
      <c r="Z138" s="65"/>
      <c r="AA138" s="65"/>
      <c r="AB138" s="65"/>
      <c r="AC138" s="65"/>
      <c r="AD138" s="62"/>
      <c r="AE138" s="62"/>
      <c r="AF138" s="81"/>
      <c r="AG138" s="62"/>
      <c r="AH138" s="65" t="s">
        <v>822</v>
      </c>
      <c r="AI138" s="144"/>
    </row>
    <row r="139" spans="1:35" ht="66.75" customHeight="1" x14ac:dyDescent="0.2">
      <c r="A139" s="83">
        <v>137</v>
      </c>
      <c r="B139" s="66" t="s">
        <v>1213</v>
      </c>
      <c r="C139" s="67" t="s">
        <v>110</v>
      </c>
      <c r="D139" s="68">
        <v>46182</v>
      </c>
      <c r="E139" s="65" t="s">
        <v>1214</v>
      </c>
      <c r="F139" s="36" t="s">
        <v>548</v>
      </c>
      <c r="G139" s="83" t="s">
        <v>1216</v>
      </c>
      <c r="H139" s="65" t="s">
        <v>142</v>
      </c>
      <c r="I139" s="65" t="s">
        <v>198</v>
      </c>
      <c r="J139" s="68">
        <v>46182</v>
      </c>
      <c r="K139" s="62" t="s">
        <v>2</v>
      </c>
      <c r="L139" s="65" t="s">
        <v>1215</v>
      </c>
      <c r="M139" s="65" t="s">
        <v>1316</v>
      </c>
      <c r="N139" s="65" t="s">
        <v>196</v>
      </c>
      <c r="O139" s="65" t="s">
        <v>196</v>
      </c>
      <c r="P139" s="65" t="s">
        <v>196</v>
      </c>
      <c r="Q139" s="65" t="s">
        <v>196</v>
      </c>
      <c r="R139" s="65" t="s">
        <v>1039</v>
      </c>
      <c r="S139" s="65"/>
      <c r="T139" s="65"/>
      <c r="U139" s="65"/>
      <c r="V139" s="65" t="s">
        <v>173</v>
      </c>
      <c r="W139" s="65" t="s">
        <v>599</v>
      </c>
      <c r="X139" s="98" t="s">
        <v>1039</v>
      </c>
      <c r="Y139" s="98" t="s">
        <v>12</v>
      </c>
      <c r="Z139" s="65" t="s">
        <v>1217</v>
      </c>
      <c r="AA139" s="65"/>
      <c r="AB139" s="65"/>
      <c r="AC139" s="65"/>
      <c r="AD139" s="62"/>
      <c r="AE139" s="62"/>
      <c r="AF139" s="81"/>
      <c r="AG139" s="62"/>
      <c r="AH139" s="65" t="s">
        <v>822</v>
      </c>
      <c r="AI139" s="144"/>
    </row>
    <row r="140" spans="1:35" ht="81.75" customHeight="1" x14ac:dyDescent="0.2">
      <c r="A140" s="83">
        <v>138</v>
      </c>
      <c r="B140" s="66" t="s">
        <v>1218</v>
      </c>
      <c r="C140" s="67" t="s">
        <v>110</v>
      </c>
      <c r="D140" s="68">
        <v>46182</v>
      </c>
      <c r="E140" s="65" t="s">
        <v>1222</v>
      </c>
      <c r="F140" s="36" t="s">
        <v>548</v>
      </c>
      <c r="G140" s="83" t="s">
        <v>1223</v>
      </c>
      <c r="H140" s="65" t="s">
        <v>142</v>
      </c>
      <c r="I140" s="65" t="s">
        <v>198</v>
      </c>
      <c r="J140" s="68">
        <v>46182</v>
      </c>
      <c r="K140" s="62" t="s">
        <v>2</v>
      </c>
      <c r="L140" s="65" t="s">
        <v>1221</v>
      </c>
      <c r="M140" s="65" t="s">
        <v>1317</v>
      </c>
      <c r="N140" s="65" t="s">
        <v>196</v>
      </c>
      <c r="O140" s="65" t="s">
        <v>196</v>
      </c>
      <c r="P140" s="65" t="s">
        <v>196</v>
      </c>
      <c r="Q140" s="65" t="s">
        <v>196</v>
      </c>
      <c r="R140" s="65" t="s">
        <v>166</v>
      </c>
      <c r="S140" s="65"/>
      <c r="T140" s="65"/>
      <c r="U140" s="65"/>
      <c r="V140" s="65" t="s">
        <v>173</v>
      </c>
      <c r="W140" s="65" t="s">
        <v>599</v>
      </c>
      <c r="X140" s="98" t="s">
        <v>166</v>
      </c>
      <c r="Y140" s="98" t="s">
        <v>12</v>
      </c>
      <c r="Z140" s="65"/>
      <c r="AA140" s="65"/>
      <c r="AB140" s="65"/>
      <c r="AC140" s="65"/>
      <c r="AD140" s="62"/>
      <c r="AE140" s="62"/>
      <c r="AF140" s="81"/>
      <c r="AG140" s="62"/>
      <c r="AH140" s="65" t="s">
        <v>822</v>
      </c>
      <c r="AI140" s="144"/>
    </row>
    <row r="141" spans="1:35" ht="45" customHeight="1" x14ac:dyDescent="0.2">
      <c r="A141" s="83">
        <v>139</v>
      </c>
      <c r="B141" s="66" t="s">
        <v>1219</v>
      </c>
      <c r="C141" s="67" t="s">
        <v>110</v>
      </c>
      <c r="D141" s="68">
        <v>46182</v>
      </c>
      <c r="E141" s="65" t="s">
        <v>1225</v>
      </c>
      <c r="F141" s="36" t="s">
        <v>548</v>
      </c>
      <c r="G141" s="83" t="s">
        <v>1226</v>
      </c>
      <c r="H141" s="65" t="s">
        <v>142</v>
      </c>
      <c r="I141" s="65" t="s">
        <v>198</v>
      </c>
      <c r="J141" s="68">
        <v>46182</v>
      </c>
      <c r="K141" s="62" t="s">
        <v>2</v>
      </c>
      <c r="L141" s="65" t="s">
        <v>1224</v>
      </c>
      <c r="M141" s="65" t="s">
        <v>1318</v>
      </c>
      <c r="N141" s="65" t="s">
        <v>196</v>
      </c>
      <c r="O141" s="65" t="s">
        <v>196</v>
      </c>
      <c r="P141" s="65" t="s">
        <v>196</v>
      </c>
      <c r="Q141" s="65" t="s">
        <v>196</v>
      </c>
      <c r="R141" s="65"/>
      <c r="S141" s="65"/>
      <c r="T141" s="65"/>
      <c r="U141" s="65"/>
      <c r="V141" s="65" t="s">
        <v>173</v>
      </c>
      <c r="W141" s="65" t="s">
        <v>599</v>
      </c>
      <c r="X141" s="98" t="s">
        <v>1039</v>
      </c>
      <c r="Y141" s="98" t="s">
        <v>26</v>
      </c>
      <c r="Z141" s="65"/>
      <c r="AA141" s="65"/>
      <c r="AB141" s="65"/>
      <c r="AC141" s="65"/>
      <c r="AD141" s="62"/>
      <c r="AE141" s="62"/>
      <c r="AF141" s="81"/>
      <c r="AG141" s="62"/>
      <c r="AH141" s="65" t="s">
        <v>970</v>
      </c>
      <c r="AI141" s="144"/>
    </row>
    <row r="142" spans="1:35" ht="45" customHeight="1" x14ac:dyDescent="0.2">
      <c r="A142" s="83">
        <v>140</v>
      </c>
      <c r="B142" s="66" t="s">
        <v>1260</v>
      </c>
      <c r="C142" s="67" t="s">
        <v>110</v>
      </c>
      <c r="D142" s="68">
        <v>46188</v>
      </c>
      <c r="E142" s="65" t="s">
        <v>1262</v>
      </c>
      <c r="F142" s="36" t="s">
        <v>548</v>
      </c>
      <c r="G142" s="83" t="s">
        <v>1263</v>
      </c>
      <c r="H142" s="65" t="s">
        <v>142</v>
      </c>
      <c r="I142" s="65" t="s">
        <v>198</v>
      </c>
      <c r="J142" s="68">
        <v>46188</v>
      </c>
      <c r="K142" s="62" t="s">
        <v>2</v>
      </c>
      <c r="L142" s="65" t="s">
        <v>1261</v>
      </c>
      <c r="M142" s="65" t="s">
        <v>1335</v>
      </c>
      <c r="N142" s="65" t="s">
        <v>196</v>
      </c>
      <c r="O142" s="65" t="s">
        <v>196</v>
      </c>
      <c r="P142" s="65" t="s">
        <v>196</v>
      </c>
      <c r="Q142" s="65" t="s">
        <v>196</v>
      </c>
      <c r="R142" s="65"/>
      <c r="S142" s="65"/>
      <c r="T142" s="65"/>
      <c r="U142" s="65"/>
      <c r="V142" s="65" t="s">
        <v>173</v>
      </c>
      <c r="W142" s="65" t="s">
        <v>599</v>
      </c>
      <c r="X142" s="98" t="s">
        <v>1042</v>
      </c>
      <c r="Y142" s="98" t="s">
        <v>72</v>
      </c>
      <c r="Z142" s="65" t="s">
        <v>1266</v>
      </c>
      <c r="AA142" s="65" t="s">
        <v>189</v>
      </c>
      <c r="AB142" s="65" t="s">
        <v>1264</v>
      </c>
      <c r="AC142" s="65"/>
      <c r="AD142" s="62">
        <v>1</v>
      </c>
      <c r="AE142" s="100"/>
      <c r="AF142" s="81"/>
      <c r="AG142" s="62" t="s">
        <v>132</v>
      </c>
      <c r="AH142" s="65" t="s">
        <v>970</v>
      </c>
      <c r="AI142" s="144"/>
    </row>
    <row r="143" spans="1:35" ht="45" customHeight="1" x14ac:dyDescent="0.2">
      <c r="A143" s="83">
        <v>141</v>
      </c>
      <c r="B143" s="66" t="s">
        <v>1347</v>
      </c>
      <c r="C143" s="67" t="s">
        <v>110</v>
      </c>
      <c r="D143" s="68">
        <v>46199</v>
      </c>
      <c r="E143" s="65" t="s">
        <v>1348</v>
      </c>
      <c r="F143" s="36" t="s">
        <v>548</v>
      </c>
      <c r="G143" s="83" t="s">
        <v>1349</v>
      </c>
      <c r="H143" s="65" t="s">
        <v>168</v>
      </c>
      <c r="I143" s="65" t="s">
        <v>198</v>
      </c>
      <c r="J143" s="68">
        <v>46199</v>
      </c>
      <c r="K143" s="62" t="s">
        <v>2</v>
      </c>
      <c r="L143" s="65" t="s">
        <v>1350</v>
      </c>
      <c r="M143" s="65" t="s">
        <v>1406</v>
      </c>
      <c r="N143" s="65" t="s">
        <v>196</v>
      </c>
      <c r="O143" s="65" t="s">
        <v>196</v>
      </c>
      <c r="P143" s="65" t="s">
        <v>196</v>
      </c>
      <c r="Q143" s="65" t="s">
        <v>196</v>
      </c>
      <c r="R143" s="65" t="s">
        <v>2</v>
      </c>
      <c r="S143" s="65" t="s">
        <v>1407</v>
      </c>
      <c r="T143" s="65"/>
      <c r="U143" s="65"/>
      <c r="V143" s="65" t="s">
        <v>174</v>
      </c>
      <c r="W143" s="65" t="s">
        <v>599</v>
      </c>
      <c r="X143" s="98" t="s">
        <v>166</v>
      </c>
      <c r="Y143" s="98" t="s">
        <v>10</v>
      </c>
      <c r="Z143" s="65" t="s">
        <v>1351</v>
      </c>
      <c r="AA143" s="65" t="s">
        <v>188</v>
      </c>
      <c r="AB143" s="65">
        <v>6251011885</v>
      </c>
      <c r="AC143" s="65"/>
      <c r="AD143" s="62">
        <v>1</v>
      </c>
      <c r="AE143" s="100"/>
      <c r="AF143" s="81"/>
      <c r="AG143" s="62" t="s">
        <v>132</v>
      </c>
      <c r="AH143" s="65" t="s">
        <v>822</v>
      </c>
      <c r="AI143" s="144"/>
    </row>
    <row r="144" spans="1:35" ht="45" customHeight="1" x14ac:dyDescent="0.2">
      <c r="A144" s="83">
        <v>142</v>
      </c>
      <c r="B144" s="66" t="s">
        <v>1375</v>
      </c>
      <c r="C144" s="67" t="s">
        <v>111</v>
      </c>
      <c r="D144" s="68">
        <v>46205</v>
      </c>
      <c r="E144" s="65" t="s">
        <v>1378</v>
      </c>
      <c r="F144" s="36" t="s">
        <v>1379</v>
      </c>
      <c r="G144" s="83" t="s">
        <v>1381</v>
      </c>
      <c r="H144" s="65" t="s">
        <v>168</v>
      </c>
      <c r="I144" s="65" t="s">
        <v>198</v>
      </c>
      <c r="J144" s="68">
        <v>46205</v>
      </c>
      <c r="K144" s="62" t="s">
        <v>2</v>
      </c>
      <c r="L144" s="65" t="s">
        <v>1382</v>
      </c>
      <c r="M144" s="65" t="s">
        <v>1383</v>
      </c>
      <c r="N144" s="65" t="s">
        <v>196</v>
      </c>
      <c r="O144" s="65" t="s">
        <v>196</v>
      </c>
      <c r="P144" s="65" t="s">
        <v>196</v>
      </c>
      <c r="Q144" s="65" t="s">
        <v>196</v>
      </c>
      <c r="R144" s="65"/>
      <c r="S144" s="65"/>
      <c r="T144" s="65"/>
      <c r="U144" s="65"/>
      <c r="V144" s="65" t="s">
        <v>173</v>
      </c>
      <c r="W144" s="65" t="s">
        <v>599</v>
      </c>
      <c r="X144" s="98" t="s">
        <v>1043</v>
      </c>
      <c r="Y144" s="98" t="s">
        <v>55</v>
      </c>
      <c r="Z144" s="65" t="s">
        <v>1380</v>
      </c>
      <c r="AA144" s="65" t="s">
        <v>188</v>
      </c>
      <c r="AB144" s="65" t="s">
        <v>1384</v>
      </c>
      <c r="AC144" s="65"/>
      <c r="AD144" s="89">
        <v>1</v>
      </c>
      <c r="AE144" s="89">
        <v>1</v>
      </c>
      <c r="AF144" s="84">
        <v>1</v>
      </c>
      <c r="AG144" s="62" t="s">
        <v>132</v>
      </c>
      <c r="AH144" s="65" t="s">
        <v>822</v>
      </c>
      <c r="AI144" s="144"/>
    </row>
    <row r="145" spans="1:35" ht="45" customHeight="1" x14ac:dyDescent="0.2">
      <c r="A145" s="83">
        <v>143</v>
      </c>
      <c r="B145" s="66" t="s">
        <v>1352</v>
      </c>
      <c r="C145" s="67" t="s">
        <v>110</v>
      </c>
      <c r="D145" s="68">
        <v>46199</v>
      </c>
      <c r="E145" s="65" t="s">
        <v>1353</v>
      </c>
      <c r="F145" s="36" t="s">
        <v>548</v>
      </c>
      <c r="G145" s="83" t="s">
        <v>1354</v>
      </c>
      <c r="H145" s="65" t="s">
        <v>1374</v>
      </c>
      <c r="I145" s="65" t="s">
        <v>198</v>
      </c>
      <c r="J145" s="68">
        <v>46199</v>
      </c>
      <c r="K145" s="62" t="s">
        <v>2</v>
      </c>
      <c r="L145" s="65" t="s">
        <v>1355</v>
      </c>
      <c r="M145" s="65" t="s">
        <v>1865</v>
      </c>
      <c r="N145" s="65" t="s">
        <v>2</v>
      </c>
      <c r="O145" s="65" t="s">
        <v>1859</v>
      </c>
      <c r="P145" s="65" t="s">
        <v>2</v>
      </c>
      <c r="Q145" s="65" t="s">
        <v>1857</v>
      </c>
      <c r="R145" s="65"/>
      <c r="S145" s="65"/>
      <c r="T145" s="65"/>
      <c r="U145" s="65"/>
      <c r="V145" s="65" t="s">
        <v>174</v>
      </c>
      <c r="W145" s="65" t="s">
        <v>599</v>
      </c>
      <c r="X145" s="98" t="s">
        <v>1039</v>
      </c>
      <c r="Y145" s="98" t="s">
        <v>16</v>
      </c>
      <c r="Z145" s="65" t="s">
        <v>1356</v>
      </c>
      <c r="AA145" s="65" t="s">
        <v>188</v>
      </c>
      <c r="AB145" s="65" t="s">
        <v>1357</v>
      </c>
      <c r="AC145" s="65"/>
      <c r="AD145" s="62">
        <v>1</v>
      </c>
      <c r="AE145" s="100"/>
      <c r="AF145" s="81"/>
      <c r="AG145" s="62" t="s">
        <v>132</v>
      </c>
      <c r="AH145" s="65" t="s">
        <v>822</v>
      </c>
      <c r="AI145" s="144"/>
    </row>
    <row r="146" spans="1:35" ht="45" customHeight="1" x14ac:dyDescent="0.2">
      <c r="A146" s="83">
        <v>144</v>
      </c>
      <c r="B146" s="66" t="s">
        <v>1376</v>
      </c>
      <c r="C146" s="67" t="s">
        <v>111</v>
      </c>
      <c r="D146" s="68">
        <v>46206</v>
      </c>
      <c r="E146" s="65" t="s">
        <v>1385</v>
      </c>
      <c r="F146" s="36" t="s">
        <v>1386</v>
      </c>
      <c r="G146" s="83" t="s">
        <v>1387</v>
      </c>
      <c r="H146" s="65" t="s">
        <v>140</v>
      </c>
      <c r="I146" s="65" t="s">
        <v>198</v>
      </c>
      <c r="J146" s="68">
        <v>46206</v>
      </c>
      <c r="K146" s="62" t="s">
        <v>2</v>
      </c>
      <c r="L146" s="65" t="s">
        <v>1388</v>
      </c>
      <c r="M146" s="65" t="s">
        <v>1816</v>
      </c>
      <c r="N146" s="65" t="s">
        <v>2</v>
      </c>
      <c r="O146" s="65" t="s">
        <v>1427</v>
      </c>
      <c r="P146" s="65" t="s">
        <v>2</v>
      </c>
      <c r="Q146" s="65" t="s">
        <v>1481</v>
      </c>
      <c r="R146" s="65"/>
      <c r="S146" s="65"/>
      <c r="T146" s="65"/>
      <c r="U146" s="65"/>
      <c r="V146" s="65" t="s">
        <v>173</v>
      </c>
      <c r="W146" s="65" t="s">
        <v>599</v>
      </c>
      <c r="X146" s="98" t="s">
        <v>1043</v>
      </c>
      <c r="Y146" s="98" t="s">
        <v>14</v>
      </c>
      <c r="Z146" s="65" t="s">
        <v>1389</v>
      </c>
      <c r="AA146" s="65" t="s">
        <v>189</v>
      </c>
      <c r="AB146" s="65" t="s">
        <v>1390</v>
      </c>
      <c r="AC146" s="65"/>
      <c r="AD146" s="89">
        <v>1</v>
      </c>
      <c r="AE146" s="100"/>
      <c r="AF146" s="81"/>
      <c r="AG146" s="62" t="s">
        <v>132</v>
      </c>
      <c r="AH146" s="65" t="s">
        <v>835</v>
      </c>
      <c r="AI146" s="144"/>
    </row>
    <row r="147" spans="1:35" ht="76.5" customHeight="1" x14ac:dyDescent="0.2">
      <c r="A147" s="83">
        <v>145</v>
      </c>
      <c r="B147" s="66" t="s">
        <v>1358</v>
      </c>
      <c r="C147" s="67" t="s">
        <v>110</v>
      </c>
      <c r="D147" s="68">
        <v>46170</v>
      </c>
      <c r="E147" s="65" t="s">
        <v>1359</v>
      </c>
      <c r="F147" s="36" t="s">
        <v>548</v>
      </c>
      <c r="G147" s="83" t="s">
        <v>1360</v>
      </c>
      <c r="H147" s="65" t="s">
        <v>140</v>
      </c>
      <c r="I147" s="65" t="s">
        <v>198</v>
      </c>
      <c r="J147" s="68">
        <v>46199</v>
      </c>
      <c r="K147" s="62" t="s">
        <v>2</v>
      </c>
      <c r="L147" s="65" t="s">
        <v>1361</v>
      </c>
      <c r="M147" s="65" t="s">
        <v>1426</v>
      </c>
      <c r="N147" s="65" t="s">
        <v>2</v>
      </c>
      <c r="O147" s="65" t="s">
        <v>1786</v>
      </c>
      <c r="P147" s="65" t="s">
        <v>196</v>
      </c>
      <c r="Q147" s="65" t="s">
        <v>196</v>
      </c>
      <c r="R147" s="65"/>
      <c r="S147" s="65"/>
      <c r="T147" s="65"/>
      <c r="U147" s="65"/>
      <c r="V147" s="65" t="s">
        <v>173</v>
      </c>
      <c r="W147" s="65" t="s">
        <v>599</v>
      </c>
      <c r="X147" s="98" t="s">
        <v>1040</v>
      </c>
      <c r="Y147" s="98" t="s">
        <v>74</v>
      </c>
      <c r="Z147" s="65"/>
      <c r="AA147" s="65" t="s">
        <v>188</v>
      </c>
      <c r="AB147" s="65"/>
      <c r="AC147" s="65"/>
      <c r="AD147" s="62">
        <v>1</v>
      </c>
      <c r="AE147" s="100"/>
      <c r="AF147" s="81"/>
      <c r="AG147" s="62" t="s">
        <v>132</v>
      </c>
      <c r="AH147" s="65" t="s">
        <v>970</v>
      </c>
      <c r="AI147" s="144"/>
    </row>
    <row r="148" spans="1:35" ht="33.75" customHeight="1" x14ac:dyDescent="0.2">
      <c r="A148" s="83">
        <v>146</v>
      </c>
      <c r="B148" s="66" t="s">
        <v>1483</v>
      </c>
      <c r="C148" s="67" t="s">
        <v>111</v>
      </c>
      <c r="D148" s="68">
        <v>46230</v>
      </c>
      <c r="E148" s="65" t="s">
        <v>1484</v>
      </c>
      <c r="F148" s="36"/>
      <c r="G148" s="83" t="s">
        <v>1485</v>
      </c>
      <c r="H148" s="65" t="s">
        <v>143</v>
      </c>
      <c r="I148" s="65" t="s">
        <v>198</v>
      </c>
      <c r="J148" s="68">
        <v>46230</v>
      </c>
      <c r="K148" s="62" t="s">
        <v>2</v>
      </c>
      <c r="L148" s="65" t="s">
        <v>1502</v>
      </c>
      <c r="M148" s="65" t="s">
        <v>1503</v>
      </c>
      <c r="N148" s="65" t="s">
        <v>196</v>
      </c>
      <c r="O148" s="65" t="s">
        <v>196</v>
      </c>
      <c r="P148" s="65" t="s">
        <v>196</v>
      </c>
      <c r="Q148" s="65" t="s">
        <v>196</v>
      </c>
      <c r="R148" s="65" t="s">
        <v>196</v>
      </c>
      <c r="S148" s="65" t="s">
        <v>196</v>
      </c>
      <c r="T148" s="65" t="s">
        <v>196</v>
      </c>
      <c r="U148" s="65" t="s">
        <v>196</v>
      </c>
      <c r="V148" s="65" t="s">
        <v>173</v>
      </c>
      <c r="W148" s="65" t="s">
        <v>599</v>
      </c>
      <c r="X148" s="98" t="s">
        <v>165</v>
      </c>
      <c r="Y148" s="98" t="s">
        <v>81</v>
      </c>
      <c r="Z148" s="65" t="s">
        <v>1486</v>
      </c>
      <c r="AA148" s="65" t="s">
        <v>188</v>
      </c>
      <c r="AB148" s="65"/>
      <c r="AC148" s="65"/>
      <c r="AD148" s="89">
        <v>1</v>
      </c>
      <c r="AE148" s="89"/>
      <c r="AF148" s="84"/>
      <c r="AG148" s="62" t="s">
        <v>132</v>
      </c>
      <c r="AH148" s="65" t="s">
        <v>970</v>
      </c>
      <c r="AI148" s="144"/>
    </row>
    <row r="149" spans="1:35" ht="45" customHeight="1" x14ac:dyDescent="0.2">
      <c r="A149" s="83">
        <v>147</v>
      </c>
      <c r="B149" s="66" t="s">
        <v>1487</v>
      </c>
      <c r="C149" s="67" t="s">
        <v>111</v>
      </c>
      <c r="D149" s="68">
        <v>46230</v>
      </c>
      <c r="E149" s="65" t="s">
        <v>1488</v>
      </c>
      <c r="F149" s="36"/>
      <c r="G149" s="83" t="s">
        <v>1489</v>
      </c>
      <c r="H149" s="65" t="s">
        <v>143</v>
      </c>
      <c r="I149" s="65" t="s">
        <v>198</v>
      </c>
      <c r="J149" s="68">
        <v>46230</v>
      </c>
      <c r="K149" s="62" t="s">
        <v>2</v>
      </c>
      <c r="L149" s="65" t="s">
        <v>1500</v>
      </c>
      <c r="M149" s="65" t="s">
        <v>1501</v>
      </c>
      <c r="N149" s="65" t="s">
        <v>196</v>
      </c>
      <c r="O149" s="65" t="s">
        <v>196</v>
      </c>
      <c r="P149" s="65" t="s">
        <v>196</v>
      </c>
      <c r="Q149" s="65" t="s">
        <v>196</v>
      </c>
      <c r="R149" s="65" t="s">
        <v>196</v>
      </c>
      <c r="S149" s="65" t="s">
        <v>196</v>
      </c>
      <c r="T149" s="65" t="s">
        <v>196</v>
      </c>
      <c r="U149" s="65" t="s">
        <v>196</v>
      </c>
      <c r="V149" s="65" t="s">
        <v>173</v>
      </c>
      <c r="W149" s="65" t="s">
        <v>599</v>
      </c>
      <c r="X149" s="98" t="s">
        <v>165</v>
      </c>
      <c r="Y149" s="98" t="s">
        <v>81</v>
      </c>
      <c r="Z149" s="65" t="s">
        <v>1486</v>
      </c>
      <c r="AA149" s="65" t="s">
        <v>188</v>
      </c>
      <c r="AB149" s="65"/>
      <c r="AC149" s="65"/>
      <c r="AD149" s="89">
        <v>1</v>
      </c>
      <c r="AE149" s="89"/>
      <c r="AF149" s="84"/>
      <c r="AG149" s="62" t="s">
        <v>132</v>
      </c>
      <c r="AH149" s="65" t="s">
        <v>970</v>
      </c>
      <c r="AI149" s="144"/>
    </row>
    <row r="150" spans="1:35" ht="45" customHeight="1" x14ac:dyDescent="0.2">
      <c r="A150" s="83">
        <v>148</v>
      </c>
      <c r="B150" s="66" t="s">
        <v>1474</v>
      </c>
      <c r="C150" s="67" t="s">
        <v>111</v>
      </c>
      <c r="D150" s="68">
        <v>46227</v>
      </c>
      <c r="E150" s="65" t="s">
        <v>1475</v>
      </c>
      <c r="F150" s="36"/>
      <c r="G150" s="83" t="s">
        <v>1476</v>
      </c>
      <c r="H150" s="65" t="s">
        <v>168</v>
      </c>
      <c r="I150" s="65" t="s">
        <v>198</v>
      </c>
      <c r="J150" s="68">
        <v>46227</v>
      </c>
      <c r="K150" s="62" t="s">
        <v>2</v>
      </c>
      <c r="L150" s="65" t="s">
        <v>1518</v>
      </c>
      <c r="M150" s="65" t="s">
        <v>1519</v>
      </c>
      <c r="N150" s="65" t="s">
        <v>196</v>
      </c>
      <c r="O150" s="65" t="s">
        <v>196</v>
      </c>
      <c r="P150" s="65" t="s">
        <v>196</v>
      </c>
      <c r="Q150" s="65" t="s">
        <v>196</v>
      </c>
      <c r="R150" s="65"/>
      <c r="S150" s="65"/>
      <c r="T150" s="65"/>
      <c r="U150" s="65"/>
      <c r="V150" s="65" t="s">
        <v>173</v>
      </c>
      <c r="W150" s="65" t="s">
        <v>599</v>
      </c>
      <c r="X150" s="98" t="s">
        <v>1039</v>
      </c>
      <c r="Y150" s="98" t="s">
        <v>23</v>
      </c>
      <c r="Z150" s="65"/>
      <c r="AA150" s="65" t="s">
        <v>188</v>
      </c>
      <c r="AB150" s="65"/>
      <c r="AC150" s="65"/>
      <c r="AD150" s="89">
        <v>1</v>
      </c>
      <c r="AE150" s="89"/>
      <c r="AF150" s="84"/>
      <c r="AG150" s="62" t="s">
        <v>132</v>
      </c>
      <c r="AH150" s="65" t="s">
        <v>835</v>
      </c>
      <c r="AI150" s="144"/>
    </row>
    <row r="151" spans="1:35" ht="45" customHeight="1" x14ac:dyDescent="0.2">
      <c r="A151" s="83">
        <v>149</v>
      </c>
      <c r="B151" s="66" t="s">
        <v>1520</v>
      </c>
      <c r="C151" s="67" t="s">
        <v>111</v>
      </c>
      <c r="D151" s="68">
        <v>46227</v>
      </c>
      <c r="E151" s="65" t="s">
        <v>1521</v>
      </c>
      <c r="F151" s="36"/>
      <c r="G151" s="83" t="s">
        <v>1522</v>
      </c>
      <c r="H151" s="65" t="s">
        <v>168</v>
      </c>
      <c r="I151" s="65" t="s">
        <v>198</v>
      </c>
      <c r="J151" s="68">
        <v>46227</v>
      </c>
      <c r="K151" s="62" t="s">
        <v>2</v>
      </c>
      <c r="L151" s="65" t="s">
        <v>1523</v>
      </c>
      <c r="M151" s="65" t="s">
        <v>1595</v>
      </c>
      <c r="N151" s="65" t="s">
        <v>196</v>
      </c>
      <c r="O151" s="65" t="s">
        <v>196</v>
      </c>
      <c r="P151" s="65" t="s">
        <v>196</v>
      </c>
      <c r="Q151" s="65" t="s">
        <v>196</v>
      </c>
      <c r="R151" s="65"/>
      <c r="S151" s="65"/>
      <c r="T151" s="65"/>
      <c r="U151" s="65"/>
      <c r="V151" s="65" t="s">
        <v>173</v>
      </c>
      <c r="W151" s="65" t="s">
        <v>599</v>
      </c>
      <c r="X151" s="98" t="s">
        <v>1043</v>
      </c>
      <c r="Y151" s="98" t="s">
        <v>64</v>
      </c>
      <c r="Z151" s="65"/>
      <c r="AA151" s="65" t="s">
        <v>188</v>
      </c>
      <c r="AB151" s="65"/>
      <c r="AC151" s="65"/>
      <c r="AD151" s="89">
        <v>1</v>
      </c>
      <c r="AE151" s="89"/>
      <c r="AF151" s="84"/>
      <c r="AG151" s="62" t="s">
        <v>132</v>
      </c>
      <c r="AH151" s="65" t="s">
        <v>835</v>
      </c>
      <c r="AI151" s="144"/>
    </row>
    <row r="152" spans="1:35" ht="45" customHeight="1" x14ac:dyDescent="0.2">
      <c r="A152" s="83">
        <v>150</v>
      </c>
      <c r="B152" s="66" t="s">
        <v>1456</v>
      </c>
      <c r="C152" s="133" t="s">
        <v>111</v>
      </c>
      <c r="D152" s="129">
        <v>46227</v>
      </c>
      <c r="E152" s="65" t="s">
        <v>1457</v>
      </c>
      <c r="F152" s="134"/>
      <c r="G152" s="83" t="s">
        <v>1458</v>
      </c>
      <c r="H152" s="65" t="s">
        <v>168</v>
      </c>
      <c r="I152" s="135" t="s">
        <v>198</v>
      </c>
      <c r="J152" s="68">
        <v>46227</v>
      </c>
      <c r="K152" s="136" t="s">
        <v>2</v>
      </c>
      <c r="L152" s="83" t="s">
        <v>1600</v>
      </c>
      <c r="M152" s="128" t="s">
        <v>1601</v>
      </c>
      <c r="N152" s="65" t="s">
        <v>2</v>
      </c>
      <c r="O152" s="65" t="s">
        <v>1677</v>
      </c>
      <c r="P152" s="65" t="s">
        <v>196</v>
      </c>
      <c r="Q152" s="65" t="s">
        <v>196</v>
      </c>
      <c r="R152" s="137"/>
      <c r="S152" s="65"/>
      <c r="T152" s="65"/>
      <c r="U152" s="65"/>
      <c r="V152" s="65" t="s">
        <v>173</v>
      </c>
      <c r="W152" s="128" t="s">
        <v>599</v>
      </c>
      <c r="X152" s="98" t="s">
        <v>1039</v>
      </c>
      <c r="Y152" s="98" t="s">
        <v>23</v>
      </c>
      <c r="Z152" s="65"/>
      <c r="AA152" s="137" t="s">
        <v>188</v>
      </c>
      <c r="AB152" s="65"/>
      <c r="AC152" s="65"/>
      <c r="AD152" s="89">
        <v>1</v>
      </c>
      <c r="AE152" s="89"/>
      <c r="AF152" s="84"/>
      <c r="AG152" s="130" t="s">
        <v>132</v>
      </c>
      <c r="AH152" s="65" t="s">
        <v>835</v>
      </c>
      <c r="AI152" s="143"/>
    </row>
    <row r="153" spans="1:35" ht="45" customHeight="1" x14ac:dyDescent="0.2">
      <c r="A153" s="83">
        <v>151</v>
      </c>
      <c r="B153" s="66" t="s">
        <v>1453</v>
      </c>
      <c r="C153" s="67" t="s">
        <v>111</v>
      </c>
      <c r="D153" s="68">
        <v>46227</v>
      </c>
      <c r="E153" s="65" t="s">
        <v>1454</v>
      </c>
      <c r="F153" s="36"/>
      <c r="G153" s="83" t="s">
        <v>1455</v>
      </c>
      <c r="H153" s="65" t="s">
        <v>168</v>
      </c>
      <c r="I153" s="65" t="s">
        <v>198</v>
      </c>
      <c r="J153" s="68">
        <v>46227</v>
      </c>
      <c r="K153" s="62" t="s">
        <v>2</v>
      </c>
      <c r="L153" s="83" t="s">
        <v>1596</v>
      </c>
      <c r="M153" s="65" t="s">
        <v>1597</v>
      </c>
      <c r="N153" s="65" t="s">
        <v>2</v>
      </c>
      <c r="O153" s="65" t="s">
        <v>1677</v>
      </c>
      <c r="P153" s="65" t="s">
        <v>196</v>
      </c>
      <c r="Q153" s="65" t="s">
        <v>196</v>
      </c>
      <c r="R153" s="65"/>
      <c r="S153" s="65"/>
      <c r="T153" s="65"/>
      <c r="U153" s="65"/>
      <c r="V153" s="65" t="s">
        <v>173</v>
      </c>
      <c r="W153" s="65" t="s">
        <v>599</v>
      </c>
      <c r="X153" s="98" t="s">
        <v>1039</v>
      </c>
      <c r="Y153" s="98" t="s">
        <v>23</v>
      </c>
      <c r="Z153" s="65"/>
      <c r="AA153" s="65" t="s">
        <v>188</v>
      </c>
      <c r="AB153" s="65"/>
      <c r="AC153" s="65"/>
      <c r="AD153" s="89">
        <v>1</v>
      </c>
      <c r="AE153" s="89"/>
      <c r="AF153" s="84"/>
      <c r="AG153" s="62" t="s">
        <v>132</v>
      </c>
      <c r="AH153" s="65" t="s">
        <v>835</v>
      </c>
      <c r="AI153" s="144"/>
    </row>
    <row r="154" spans="1:35" ht="45" customHeight="1" x14ac:dyDescent="0.2">
      <c r="A154" s="83">
        <v>152</v>
      </c>
      <c r="B154" s="66" t="s">
        <v>1459</v>
      </c>
      <c r="C154" s="67" t="s">
        <v>111</v>
      </c>
      <c r="D154" s="68">
        <v>46227</v>
      </c>
      <c r="E154" s="65" t="s">
        <v>1460</v>
      </c>
      <c r="F154" s="36"/>
      <c r="G154" s="83" t="s">
        <v>1461</v>
      </c>
      <c r="H154" s="65" t="s">
        <v>168</v>
      </c>
      <c r="I154" s="65" t="s">
        <v>198</v>
      </c>
      <c r="J154" s="68">
        <v>46227</v>
      </c>
      <c r="K154" s="62" t="s">
        <v>2</v>
      </c>
      <c r="L154" s="83" t="s">
        <v>1598</v>
      </c>
      <c r="M154" s="65" t="s">
        <v>1599</v>
      </c>
      <c r="N154" s="65" t="s">
        <v>2</v>
      </c>
      <c r="O154" s="65" t="s">
        <v>1677</v>
      </c>
      <c r="P154" s="65" t="s">
        <v>3</v>
      </c>
      <c r="Q154" s="65" t="s">
        <v>196</v>
      </c>
      <c r="R154" s="65"/>
      <c r="S154" s="65"/>
      <c r="T154" s="65"/>
      <c r="U154" s="65"/>
      <c r="V154" s="65" t="s">
        <v>173</v>
      </c>
      <c r="W154" s="65" t="s">
        <v>599</v>
      </c>
      <c r="X154" s="98" t="s">
        <v>1039</v>
      </c>
      <c r="Y154" s="98" t="s">
        <v>23</v>
      </c>
      <c r="Z154" s="65"/>
      <c r="AA154" s="65" t="s">
        <v>188</v>
      </c>
      <c r="AB154" s="65"/>
      <c r="AC154" s="65"/>
      <c r="AD154" s="89">
        <v>1</v>
      </c>
      <c r="AE154" s="89"/>
      <c r="AF154" s="84"/>
      <c r="AG154" s="62" t="s">
        <v>132</v>
      </c>
      <c r="AH154" s="65" t="s">
        <v>835</v>
      </c>
      <c r="AI154" s="144"/>
    </row>
    <row r="155" spans="1:35" ht="45" customHeight="1" x14ac:dyDescent="0.2">
      <c r="A155" s="83">
        <v>153</v>
      </c>
      <c r="B155" s="66" t="s">
        <v>1462</v>
      </c>
      <c r="C155" s="67" t="s">
        <v>111</v>
      </c>
      <c r="D155" s="68">
        <v>46227</v>
      </c>
      <c r="E155" s="65" t="s">
        <v>1463</v>
      </c>
      <c r="F155" s="36"/>
      <c r="G155" s="83" t="s">
        <v>1464</v>
      </c>
      <c r="H155" s="65" t="s">
        <v>168</v>
      </c>
      <c r="I155" s="65" t="s">
        <v>198</v>
      </c>
      <c r="J155" s="68">
        <v>46227</v>
      </c>
      <c r="K155" s="62" t="s">
        <v>2</v>
      </c>
      <c r="L155" s="83" t="s">
        <v>1602</v>
      </c>
      <c r="M155" s="65" t="s">
        <v>1603</v>
      </c>
      <c r="N155" s="65" t="s">
        <v>2</v>
      </c>
      <c r="O155" s="65" t="s">
        <v>1679</v>
      </c>
      <c r="P155" s="65" t="s">
        <v>196</v>
      </c>
      <c r="Q155" s="65" t="s">
        <v>196</v>
      </c>
      <c r="R155" s="65"/>
      <c r="S155" s="65"/>
      <c r="T155" s="65"/>
      <c r="U155" s="65"/>
      <c r="V155" s="65" t="s">
        <v>173</v>
      </c>
      <c r="W155" s="65" t="s">
        <v>599</v>
      </c>
      <c r="X155" s="98" t="s">
        <v>1039</v>
      </c>
      <c r="Y155" s="98" t="s">
        <v>23</v>
      </c>
      <c r="Z155" s="65"/>
      <c r="AA155" s="65" t="s">
        <v>188</v>
      </c>
      <c r="AB155" s="65"/>
      <c r="AC155" s="65"/>
      <c r="AD155" s="89">
        <v>1</v>
      </c>
      <c r="AE155" s="89"/>
      <c r="AF155" s="84"/>
      <c r="AG155" s="62" t="s">
        <v>132</v>
      </c>
      <c r="AH155" s="65" t="s">
        <v>835</v>
      </c>
      <c r="AI155" s="144"/>
    </row>
    <row r="156" spans="1:35" ht="45" customHeight="1" x14ac:dyDescent="0.2">
      <c r="A156" s="83">
        <v>154</v>
      </c>
      <c r="B156" s="66" t="s">
        <v>1471</v>
      </c>
      <c r="C156" s="67" t="s">
        <v>111</v>
      </c>
      <c r="D156" s="68">
        <v>46227</v>
      </c>
      <c r="E156" s="65" t="s">
        <v>1472</v>
      </c>
      <c r="F156" s="36"/>
      <c r="G156" s="83" t="s">
        <v>1473</v>
      </c>
      <c r="H156" s="65" t="s">
        <v>168</v>
      </c>
      <c r="I156" s="65" t="s">
        <v>198</v>
      </c>
      <c r="J156" s="68">
        <v>46227</v>
      </c>
      <c r="K156" s="62" t="s">
        <v>2</v>
      </c>
      <c r="L156" s="65" t="s">
        <v>1516</v>
      </c>
      <c r="M156" s="65" t="s">
        <v>1517</v>
      </c>
      <c r="N156" s="65" t="s">
        <v>196</v>
      </c>
      <c r="O156" s="65" t="s">
        <v>196</v>
      </c>
      <c r="P156" s="65" t="s">
        <v>196</v>
      </c>
      <c r="Q156" s="65" t="s">
        <v>196</v>
      </c>
      <c r="R156" s="65"/>
      <c r="S156" s="65"/>
      <c r="T156" s="65"/>
      <c r="U156" s="65"/>
      <c r="V156" s="65" t="s">
        <v>173</v>
      </c>
      <c r="W156" s="65" t="s">
        <v>599</v>
      </c>
      <c r="X156" s="98" t="s">
        <v>1039</v>
      </c>
      <c r="Y156" s="98" t="s">
        <v>23</v>
      </c>
      <c r="Z156" s="65"/>
      <c r="AA156" s="65" t="s">
        <v>188</v>
      </c>
      <c r="AB156" s="65"/>
      <c r="AC156" s="65"/>
      <c r="AD156" s="89">
        <v>1</v>
      </c>
      <c r="AE156" s="89"/>
      <c r="AF156" s="84"/>
      <c r="AG156" s="62" t="s">
        <v>132</v>
      </c>
      <c r="AH156" s="65" t="s">
        <v>835</v>
      </c>
      <c r="AI156" s="144"/>
    </row>
    <row r="157" spans="1:35" ht="64.5" customHeight="1" x14ac:dyDescent="0.2">
      <c r="A157" s="83">
        <v>155</v>
      </c>
      <c r="B157" s="66" t="s">
        <v>1468</v>
      </c>
      <c r="C157" s="67" t="s">
        <v>111</v>
      </c>
      <c r="D157" s="68">
        <v>46227</v>
      </c>
      <c r="E157" s="65" t="s">
        <v>1469</v>
      </c>
      <c r="F157" s="36"/>
      <c r="G157" s="83" t="s">
        <v>1470</v>
      </c>
      <c r="H157" s="65" t="s">
        <v>168</v>
      </c>
      <c r="I157" s="65" t="s">
        <v>198</v>
      </c>
      <c r="J157" s="68">
        <v>46227</v>
      </c>
      <c r="K157" s="62" t="s">
        <v>2</v>
      </c>
      <c r="L157" s="65" t="s">
        <v>1514</v>
      </c>
      <c r="M157" s="65" t="s">
        <v>1515</v>
      </c>
      <c r="N157" s="65" t="s">
        <v>196</v>
      </c>
      <c r="O157" s="65" t="s">
        <v>196</v>
      </c>
      <c r="P157" s="65" t="s">
        <v>196</v>
      </c>
      <c r="Q157" s="65" t="s">
        <v>196</v>
      </c>
      <c r="R157" s="65"/>
      <c r="S157" s="65"/>
      <c r="T157" s="65"/>
      <c r="U157" s="65"/>
      <c r="V157" s="65" t="s">
        <v>173</v>
      </c>
      <c r="W157" s="65" t="s">
        <v>599</v>
      </c>
      <c r="X157" s="98" t="s">
        <v>1039</v>
      </c>
      <c r="Y157" s="98" t="s">
        <v>23</v>
      </c>
      <c r="Z157" s="65"/>
      <c r="AA157" s="65" t="s">
        <v>188</v>
      </c>
      <c r="AB157" s="65"/>
      <c r="AC157" s="65"/>
      <c r="AD157" s="89">
        <v>1</v>
      </c>
      <c r="AE157" s="89"/>
      <c r="AF157" s="84"/>
      <c r="AG157" s="62" t="s">
        <v>132</v>
      </c>
      <c r="AH157" s="65" t="s">
        <v>835</v>
      </c>
      <c r="AI157" s="144"/>
    </row>
    <row r="158" spans="1:35" ht="75" customHeight="1" x14ac:dyDescent="0.2">
      <c r="A158" s="83">
        <v>156</v>
      </c>
      <c r="B158" s="66" t="s">
        <v>1465</v>
      </c>
      <c r="C158" s="67" t="s">
        <v>111</v>
      </c>
      <c r="D158" s="68">
        <v>46227</v>
      </c>
      <c r="E158" s="65" t="s">
        <v>1466</v>
      </c>
      <c r="F158" s="36"/>
      <c r="G158" s="83" t="s">
        <v>1467</v>
      </c>
      <c r="H158" s="65" t="s">
        <v>168</v>
      </c>
      <c r="I158" s="65" t="s">
        <v>198</v>
      </c>
      <c r="J158" s="68">
        <v>46227</v>
      </c>
      <c r="K158" s="62" t="s">
        <v>2</v>
      </c>
      <c r="L158" s="65" t="s">
        <v>1512</v>
      </c>
      <c r="M158" s="65" t="s">
        <v>1513</v>
      </c>
      <c r="N158" s="65" t="s">
        <v>196</v>
      </c>
      <c r="O158" s="65" t="s">
        <v>196</v>
      </c>
      <c r="P158" s="65" t="s">
        <v>196</v>
      </c>
      <c r="Q158" s="65" t="s">
        <v>196</v>
      </c>
      <c r="R158" s="65"/>
      <c r="S158" s="65"/>
      <c r="T158" s="65"/>
      <c r="U158" s="65"/>
      <c r="V158" s="65" t="s">
        <v>173</v>
      </c>
      <c r="W158" s="65" t="s">
        <v>599</v>
      </c>
      <c r="X158" s="98" t="s">
        <v>1039</v>
      </c>
      <c r="Y158" s="98" t="s">
        <v>23</v>
      </c>
      <c r="Z158" s="65"/>
      <c r="AA158" s="65" t="s">
        <v>188</v>
      </c>
      <c r="AB158" s="65"/>
      <c r="AC158" s="65"/>
      <c r="AD158" s="89">
        <v>1</v>
      </c>
      <c r="AE158" s="89"/>
      <c r="AF158" s="84"/>
      <c r="AG158" s="62" t="s">
        <v>132</v>
      </c>
      <c r="AH158" s="65" t="s">
        <v>835</v>
      </c>
      <c r="AI158" s="144"/>
    </row>
    <row r="159" spans="1:35" ht="45" customHeight="1" x14ac:dyDescent="0.2">
      <c r="A159" s="83">
        <v>157</v>
      </c>
      <c r="B159" s="66" t="s">
        <v>1530</v>
      </c>
      <c r="C159" s="67" t="s">
        <v>112</v>
      </c>
      <c r="D159" s="68">
        <v>46238</v>
      </c>
      <c r="E159" s="65" t="s">
        <v>1543</v>
      </c>
      <c r="F159" s="36" t="s">
        <v>1386</v>
      </c>
      <c r="G159" s="83" t="s">
        <v>1783</v>
      </c>
      <c r="H159" s="65" t="s">
        <v>140</v>
      </c>
      <c r="I159" s="65" t="s">
        <v>198</v>
      </c>
      <c r="J159" s="68">
        <v>46232</v>
      </c>
      <c r="K159" s="62" t="s">
        <v>2</v>
      </c>
      <c r="L159" s="62" t="s">
        <v>1569</v>
      </c>
      <c r="M159" s="65" t="s">
        <v>1607</v>
      </c>
      <c r="N159" s="65" t="s">
        <v>2</v>
      </c>
      <c r="O159" s="65" t="s">
        <v>1785</v>
      </c>
      <c r="P159" s="65" t="s">
        <v>196</v>
      </c>
      <c r="Q159" s="65" t="s">
        <v>196</v>
      </c>
      <c r="R159" s="65"/>
      <c r="S159" s="65"/>
      <c r="T159" s="65"/>
      <c r="U159" s="65"/>
      <c r="V159" s="65" t="s">
        <v>173</v>
      </c>
      <c r="W159" s="65" t="s">
        <v>599</v>
      </c>
      <c r="X159" s="98" t="s">
        <v>1043</v>
      </c>
      <c r="Y159" s="98" t="s">
        <v>37</v>
      </c>
      <c r="Z159" s="65" t="s">
        <v>1568</v>
      </c>
      <c r="AA159" s="65" t="s">
        <v>188</v>
      </c>
      <c r="AB159" s="65"/>
      <c r="AC159" s="65"/>
      <c r="AD159" s="89">
        <v>1</v>
      </c>
      <c r="AE159" s="89">
        <v>1</v>
      </c>
      <c r="AF159" s="84"/>
      <c r="AG159" s="62" t="s">
        <v>133</v>
      </c>
      <c r="AH159" s="65" t="s">
        <v>819</v>
      </c>
      <c r="AI159" s="144"/>
    </row>
    <row r="160" spans="1:35" ht="66" customHeight="1" x14ac:dyDescent="0.2">
      <c r="A160" s="83">
        <v>158</v>
      </c>
      <c r="B160" s="66" t="s">
        <v>1528</v>
      </c>
      <c r="C160" s="67" t="s">
        <v>112</v>
      </c>
      <c r="D160" s="68">
        <v>46238</v>
      </c>
      <c r="E160" s="65" t="s">
        <v>1541</v>
      </c>
      <c r="F160" s="36" t="s">
        <v>1386</v>
      </c>
      <c r="G160" s="83" t="s">
        <v>1556</v>
      </c>
      <c r="H160" s="65" t="s">
        <v>140</v>
      </c>
      <c r="I160" s="65" t="s">
        <v>198</v>
      </c>
      <c r="J160" s="68">
        <v>46232</v>
      </c>
      <c r="K160" s="62" t="s">
        <v>2</v>
      </c>
      <c r="L160" s="65" t="s">
        <v>1566</v>
      </c>
      <c r="M160" s="65" t="s">
        <v>1608</v>
      </c>
      <c r="N160" s="65" t="s">
        <v>196</v>
      </c>
      <c r="O160" s="65" t="s">
        <v>196</v>
      </c>
      <c r="P160" s="65" t="s">
        <v>196</v>
      </c>
      <c r="Q160" s="65" t="s">
        <v>196</v>
      </c>
      <c r="R160" s="65" t="s">
        <v>196</v>
      </c>
      <c r="S160" s="65" t="s">
        <v>196</v>
      </c>
      <c r="T160" s="65" t="s">
        <v>196</v>
      </c>
      <c r="U160" s="65" t="s">
        <v>196</v>
      </c>
      <c r="V160" s="65" t="s">
        <v>175</v>
      </c>
      <c r="W160" s="65" t="s">
        <v>598</v>
      </c>
      <c r="X160" s="65" t="s">
        <v>1047</v>
      </c>
      <c r="Y160" s="65"/>
      <c r="Z160" s="65"/>
      <c r="AA160" s="65"/>
      <c r="AB160" s="65"/>
      <c r="AC160" s="65"/>
      <c r="AD160" s="89">
        <v>1</v>
      </c>
      <c r="AE160" s="89">
        <v>1</v>
      </c>
      <c r="AF160" s="84"/>
      <c r="AG160" s="65" t="s">
        <v>196</v>
      </c>
      <c r="AH160" s="65" t="s">
        <v>196</v>
      </c>
      <c r="AI160" s="144"/>
    </row>
    <row r="161" spans="1:35" ht="62.25" customHeight="1" x14ac:dyDescent="0.2">
      <c r="A161" s="83">
        <v>159</v>
      </c>
      <c r="B161" s="66" t="s">
        <v>1790</v>
      </c>
      <c r="C161" s="67" t="s">
        <v>112</v>
      </c>
      <c r="D161" s="68">
        <v>46238</v>
      </c>
      <c r="E161" s="65" t="s">
        <v>1546</v>
      </c>
      <c r="F161" s="36" t="s">
        <v>1386</v>
      </c>
      <c r="G161" s="83" t="s">
        <v>1577</v>
      </c>
      <c r="H161" s="65" t="s">
        <v>140</v>
      </c>
      <c r="I161" s="65" t="s">
        <v>198</v>
      </c>
      <c r="J161" s="68">
        <v>46232</v>
      </c>
      <c r="K161" s="62" t="s">
        <v>2</v>
      </c>
      <c r="L161" s="65" t="s">
        <v>1578</v>
      </c>
      <c r="M161" s="65" t="s">
        <v>1610</v>
      </c>
      <c r="N161" s="65" t="s">
        <v>2</v>
      </c>
      <c r="O161" s="65" t="s">
        <v>1773</v>
      </c>
      <c r="P161" s="65" t="s">
        <v>196</v>
      </c>
      <c r="Q161" s="65" t="s">
        <v>196</v>
      </c>
      <c r="R161" s="65"/>
      <c r="S161" s="65"/>
      <c r="T161" s="65"/>
      <c r="U161" s="65"/>
      <c r="V161" s="65" t="s">
        <v>173</v>
      </c>
      <c r="W161" s="65" t="s">
        <v>599</v>
      </c>
      <c r="X161" s="98" t="s">
        <v>1049</v>
      </c>
      <c r="Y161" s="98" t="s">
        <v>32</v>
      </c>
      <c r="Z161" s="65"/>
      <c r="AA161" s="65" t="s">
        <v>189</v>
      </c>
      <c r="AB161" s="65"/>
      <c r="AC161" s="65"/>
      <c r="AD161" s="89">
        <v>1</v>
      </c>
      <c r="AE161" s="89">
        <v>1</v>
      </c>
      <c r="AF161" s="84"/>
      <c r="AG161" s="62" t="s">
        <v>134</v>
      </c>
      <c r="AH161" s="65" t="s">
        <v>840</v>
      </c>
      <c r="AI161" s="144"/>
    </row>
    <row r="162" spans="1:35" ht="45" customHeight="1" x14ac:dyDescent="0.2">
      <c r="A162" s="83">
        <v>160</v>
      </c>
      <c r="B162" s="66" t="s">
        <v>1535</v>
      </c>
      <c r="C162" s="67" t="s">
        <v>112</v>
      </c>
      <c r="D162" s="68">
        <v>46238</v>
      </c>
      <c r="E162" s="65" t="s">
        <v>1551</v>
      </c>
      <c r="F162" s="36" t="s">
        <v>1386</v>
      </c>
      <c r="G162" s="83" t="s">
        <v>1588</v>
      </c>
      <c r="H162" s="65" t="s">
        <v>140</v>
      </c>
      <c r="I162" s="65" t="s">
        <v>198</v>
      </c>
      <c r="J162" s="68">
        <v>46232</v>
      </c>
      <c r="K162" s="62" t="s">
        <v>2</v>
      </c>
      <c r="L162" s="65" t="s">
        <v>1589</v>
      </c>
      <c r="M162" s="65" t="s">
        <v>1609</v>
      </c>
      <c r="N162" s="65" t="s">
        <v>196</v>
      </c>
      <c r="O162" s="65" t="s">
        <v>196</v>
      </c>
      <c r="P162" s="65" t="s">
        <v>196</v>
      </c>
      <c r="Q162" s="65" t="s">
        <v>196</v>
      </c>
      <c r="R162" s="65"/>
      <c r="S162" s="65"/>
      <c r="T162" s="65"/>
      <c r="U162" s="65"/>
      <c r="V162" s="65" t="s">
        <v>173</v>
      </c>
      <c r="W162" s="65" t="s">
        <v>599</v>
      </c>
      <c r="X162" s="98" t="s">
        <v>1046</v>
      </c>
      <c r="Y162" s="98" t="s">
        <v>62</v>
      </c>
      <c r="Z162" s="65" t="s">
        <v>1325</v>
      </c>
      <c r="AA162" s="65" t="s">
        <v>189</v>
      </c>
      <c r="AB162" s="65"/>
      <c r="AC162" s="65"/>
      <c r="AD162" s="89">
        <v>1</v>
      </c>
      <c r="AE162" s="89">
        <v>1</v>
      </c>
      <c r="AF162" s="84"/>
      <c r="AG162" s="62" t="s">
        <v>132</v>
      </c>
      <c r="AH162" s="65" t="s">
        <v>822</v>
      </c>
      <c r="AI162" s="144"/>
    </row>
    <row r="163" spans="1:35" ht="45" customHeight="1" x14ac:dyDescent="0.2">
      <c r="A163" s="83">
        <v>161</v>
      </c>
      <c r="B163" s="66" t="s">
        <v>1792</v>
      </c>
      <c r="C163" s="67" t="s">
        <v>112</v>
      </c>
      <c r="D163" s="68">
        <v>46238</v>
      </c>
      <c r="E163" s="65" t="s">
        <v>1550</v>
      </c>
      <c r="F163" s="36" t="s">
        <v>1386</v>
      </c>
      <c r="G163" s="83" t="s">
        <v>1586</v>
      </c>
      <c r="H163" s="65" t="s">
        <v>140</v>
      </c>
      <c r="I163" s="65" t="s">
        <v>198</v>
      </c>
      <c r="J163" s="68">
        <v>46232</v>
      </c>
      <c r="K163" s="62" t="s">
        <v>2</v>
      </c>
      <c r="L163" s="65" t="s">
        <v>1587</v>
      </c>
      <c r="M163" s="65" t="s">
        <v>1611</v>
      </c>
      <c r="N163" s="65" t="s">
        <v>2</v>
      </c>
      <c r="O163" s="65" t="s">
        <v>1775</v>
      </c>
      <c r="P163" s="65" t="s">
        <v>196</v>
      </c>
      <c r="Q163" s="65" t="s">
        <v>196</v>
      </c>
      <c r="R163" s="65"/>
      <c r="S163" s="65"/>
      <c r="T163" s="65"/>
      <c r="U163" s="65"/>
      <c r="V163" s="65" t="s">
        <v>173</v>
      </c>
      <c r="W163" s="65" t="s">
        <v>599</v>
      </c>
      <c r="X163" s="98" t="s">
        <v>1049</v>
      </c>
      <c r="Y163" s="98" t="s">
        <v>32</v>
      </c>
      <c r="Z163" s="65" t="s">
        <v>1585</v>
      </c>
      <c r="AA163" s="65" t="s">
        <v>188</v>
      </c>
      <c r="AB163" s="65"/>
      <c r="AC163" s="65"/>
      <c r="AD163" s="89">
        <v>1</v>
      </c>
      <c r="AE163" s="89">
        <v>1</v>
      </c>
      <c r="AF163" s="84"/>
      <c r="AG163" s="62" t="s">
        <v>134</v>
      </c>
      <c r="AH163" s="65" t="s">
        <v>840</v>
      </c>
      <c r="AI163" s="144"/>
    </row>
    <row r="164" spans="1:35" ht="45" customHeight="1" x14ac:dyDescent="0.2">
      <c r="A164" s="83">
        <v>162</v>
      </c>
      <c r="B164" s="66" t="s">
        <v>1793</v>
      </c>
      <c r="C164" s="67" t="s">
        <v>112</v>
      </c>
      <c r="D164" s="68">
        <v>46238</v>
      </c>
      <c r="E164" s="65" t="s">
        <v>1552</v>
      </c>
      <c r="F164" s="36" t="s">
        <v>1386</v>
      </c>
      <c r="G164" s="83" t="s">
        <v>1591</v>
      </c>
      <c r="H164" s="65" t="s">
        <v>140</v>
      </c>
      <c r="I164" s="65" t="s">
        <v>198</v>
      </c>
      <c r="J164" s="68">
        <v>46232</v>
      </c>
      <c r="K164" s="62" t="s">
        <v>2</v>
      </c>
      <c r="L164" s="65" t="s">
        <v>1592</v>
      </c>
      <c r="M164" s="65" t="s">
        <v>1612</v>
      </c>
      <c r="N164" s="65" t="s">
        <v>2</v>
      </c>
      <c r="O164" s="65" t="s">
        <v>1776</v>
      </c>
      <c r="P164" s="65" t="s">
        <v>196</v>
      </c>
      <c r="Q164" s="65" t="s">
        <v>196</v>
      </c>
      <c r="R164" s="65"/>
      <c r="S164" s="65"/>
      <c r="T164" s="65"/>
      <c r="U164" s="65"/>
      <c r="V164" s="65" t="s">
        <v>173</v>
      </c>
      <c r="W164" s="65" t="s">
        <v>599</v>
      </c>
      <c r="X164" s="98" t="s">
        <v>1043</v>
      </c>
      <c r="Y164" s="98" t="s">
        <v>85</v>
      </c>
      <c r="Z164" s="65" t="s">
        <v>1590</v>
      </c>
      <c r="AA164" s="65" t="s">
        <v>188</v>
      </c>
      <c r="AB164" s="65"/>
      <c r="AC164" s="65"/>
      <c r="AD164" s="89">
        <v>1</v>
      </c>
      <c r="AE164" s="89">
        <v>1</v>
      </c>
      <c r="AF164" s="84"/>
      <c r="AG164" s="62" t="s">
        <v>134</v>
      </c>
      <c r="AH164" s="65" t="s">
        <v>840</v>
      </c>
      <c r="AI164" s="144"/>
    </row>
    <row r="165" spans="1:35" ht="45" customHeight="1" x14ac:dyDescent="0.2">
      <c r="A165" s="83">
        <v>163</v>
      </c>
      <c r="B165" s="66" t="s">
        <v>1533</v>
      </c>
      <c r="C165" s="67" t="s">
        <v>112</v>
      </c>
      <c r="D165" s="68">
        <v>46238</v>
      </c>
      <c r="E165" s="65" t="s">
        <v>1547</v>
      </c>
      <c r="F165" s="36" t="s">
        <v>1386</v>
      </c>
      <c r="G165" s="83" t="s">
        <v>1579</v>
      </c>
      <c r="H165" s="65" t="s">
        <v>140</v>
      </c>
      <c r="I165" s="65" t="s">
        <v>198</v>
      </c>
      <c r="J165" s="68">
        <v>46232</v>
      </c>
      <c r="K165" s="62" t="s">
        <v>2</v>
      </c>
      <c r="L165" s="65" t="s">
        <v>1580</v>
      </c>
      <c r="M165" s="65" t="s">
        <v>1613</v>
      </c>
      <c r="N165" s="65" t="s">
        <v>196</v>
      </c>
      <c r="O165" s="65" t="s">
        <v>196</v>
      </c>
      <c r="P165" s="65" t="s">
        <v>196</v>
      </c>
      <c r="Q165" s="65" t="s">
        <v>196</v>
      </c>
      <c r="R165" s="65"/>
      <c r="S165" s="65"/>
      <c r="T165" s="65"/>
      <c r="U165" s="65"/>
      <c r="V165" s="65" t="s">
        <v>173</v>
      </c>
      <c r="W165" s="65" t="s">
        <v>599</v>
      </c>
      <c r="X165" s="98" t="s">
        <v>1042</v>
      </c>
      <c r="Y165" s="98" t="s">
        <v>55</v>
      </c>
      <c r="Z165" s="65"/>
      <c r="AA165" s="65" t="s">
        <v>189</v>
      </c>
      <c r="AB165" s="65"/>
      <c r="AC165" s="65"/>
      <c r="AD165" s="89">
        <v>1</v>
      </c>
      <c r="AE165" s="89">
        <v>1</v>
      </c>
      <c r="AF165" s="84"/>
      <c r="AG165" s="62" t="s">
        <v>132</v>
      </c>
      <c r="AH165" s="65" t="s">
        <v>822</v>
      </c>
      <c r="AI165" s="144"/>
    </row>
    <row r="166" spans="1:35" ht="45" customHeight="1" x14ac:dyDescent="0.2">
      <c r="A166" s="83">
        <v>164</v>
      </c>
      <c r="B166" s="66" t="s">
        <v>1525</v>
      </c>
      <c r="C166" s="67" t="s">
        <v>112</v>
      </c>
      <c r="D166" s="68">
        <v>46237</v>
      </c>
      <c r="E166" s="65" t="s">
        <v>1539</v>
      </c>
      <c r="F166" s="36" t="s">
        <v>1386</v>
      </c>
      <c r="G166" s="83" t="s">
        <v>1560</v>
      </c>
      <c r="H166" s="65" t="s">
        <v>140</v>
      </c>
      <c r="I166" s="65" t="s">
        <v>198</v>
      </c>
      <c r="J166" s="68">
        <v>46232</v>
      </c>
      <c r="K166" s="62" t="s">
        <v>2</v>
      </c>
      <c r="L166" s="62" t="s">
        <v>1561</v>
      </c>
      <c r="M166" s="65" t="s">
        <v>1606</v>
      </c>
      <c r="N166" s="65" t="s">
        <v>196</v>
      </c>
      <c r="O166" s="65" t="s">
        <v>196</v>
      </c>
      <c r="P166" s="65" t="s">
        <v>196</v>
      </c>
      <c r="Q166" s="65" t="s">
        <v>196</v>
      </c>
      <c r="R166" s="65"/>
      <c r="S166" s="65"/>
      <c r="T166" s="65"/>
      <c r="U166" s="65"/>
      <c r="V166" s="65" t="s">
        <v>173</v>
      </c>
      <c r="W166" s="65" t="s">
        <v>599</v>
      </c>
      <c r="X166" s="98" t="s">
        <v>1049</v>
      </c>
      <c r="Y166" s="98" t="s">
        <v>55</v>
      </c>
      <c r="Z166" s="65"/>
      <c r="AA166" s="65" t="s">
        <v>188</v>
      </c>
      <c r="AB166" s="65"/>
      <c r="AC166" s="65"/>
      <c r="AD166" s="89">
        <v>1</v>
      </c>
      <c r="AE166" s="89"/>
      <c r="AF166" s="84"/>
      <c r="AG166" s="62" t="s">
        <v>132</v>
      </c>
      <c r="AH166" s="65" t="s">
        <v>822</v>
      </c>
      <c r="AI166" s="144"/>
    </row>
    <row r="167" spans="1:35" ht="45" customHeight="1" x14ac:dyDescent="0.2">
      <c r="A167" s="83">
        <v>165</v>
      </c>
      <c r="B167" s="66" t="s">
        <v>1536</v>
      </c>
      <c r="C167" s="67" t="s">
        <v>112</v>
      </c>
      <c r="D167" s="68">
        <v>46240</v>
      </c>
      <c r="E167" s="65" t="s">
        <v>1553</v>
      </c>
      <c r="F167" s="36" t="s">
        <v>1576</v>
      </c>
      <c r="G167" s="83" t="s">
        <v>1593</v>
      </c>
      <c r="H167" s="65" t="s">
        <v>148</v>
      </c>
      <c r="I167" s="65" t="s">
        <v>198</v>
      </c>
      <c r="J167" s="68">
        <v>46240</v>
      </c>
      <c r="K167" s="62" t="s">
        <v>2</v>
      </c>
      <c r="L167" s="65" t="s">
        <v>1594</v>
      </c>
      <c r="M167" s="65" t="s">
        <v>1604</v>
      </c>
      <c r="N167" s="65" t="s">
        <v>196</v>
      </c>
      <c r="O167" s="65" t="s">
        <v>196</v>
      </c>
      <c r="P167" s="65" t="s">
        <v>196</v>
      </c>
      <c r="Q167" s="65" t="s">
        <v>196</v>
      </c>
      <c r="R167" s="65" t="s">
        <v>196</v>
      </c>
      <c r="S167" s="65" t="s">
        <v>196</v>
      </c>
      <c r="T167" s="65" t="s">
        <v>196</v>
      </c>
      <c r="U167" s="65" t="s">
        <v>196</v>
      </c>
      <c r="V167" s="65" t="s">
        <v>175</v>
      </c>
      <c r="W167" s="65" t="s">
        <v>598</v>
      </c>
      <c r="X167" s="65" t="s">
        <v>1047</v>
      </c>
      <c r="Y167" s="65"/>
      <c r="Z167" s="65"/>
      <c r="AA167" s="65" t="s">
        <v>189</v>
      </c>
      <c r="AB167" s="65"/>
      <c r="AC167" s="65"/>
      <c r="AD167" s="89">
        <v>1</v>
      </c>
      <c r="AE167" s="89">
        <v>1</v>
      </c>
      <c r="AF167" s="84"/>
      <c r="AG167" s="65" t="s">
        <v>196</v>
      </c>
      <c r="AH167" s="65" t="s">
        <v>196</v>
      </c>
      <c r="AI167" s="144"/>
    </row>
    <row r="168" spans="1:35" ht="45" customHeight="1" x14ac:dyDescent="0.2">
      <c r="A168" s="83">
        <v>166</v>
      </c>
      <c r="B168" s="66" t="s">
        <v>276</v>
      </c>
      <c r="C168" s="67" t="s">
        <v>106</v>
      </c>
      <c r="D168" s="68">
        <v>46073</v>
      </c>
      <c r="E168" s="65" t="s">
        <v>278</v>
      </c>
      <c r="F168" s="36" t="s">
        <v>163</v>
      </c>
      <c r="G168" s="83" t="s">
        <v>279</v>
      </c>
      <c r="H168" s="65" t="s">
        <v>148</v>
      </c>
      <c r="I168" s="65" t="s">
        <v>202</v>
      </c>
      <c r="J168" s="68">
        <v>46073</v>
      </c>
      <c r="K168" s="62" t="s">
        <v>2</v>
      </c>
      <c r="L168" s="65" t="s">
        <v>196</v>
      </c>
      <c r="M168" s="65" t="s">
        <v>853</v>
      </c>
      <c r="N168" s="65" t="s">
        <v>196</v>
      </c>
      <c r="O168" s="65" t="s">
        <v>196</v>
      </c>
      <c r="P168" s="65" t="s">
        <v>196</v>
      </c>
      <c r="Q168" s="65" t="s">
        <v>196</v>
      </c>
      <c r="R168" s="65" t="s">
        <v>196</v>
      </c>
      <c r="S168" s="65" t="s">
        <v>196</v>
      </c>
      <c r="T168" s="65" t="s">
        <v>196</v>
      </c>
      <c r="U168" s="65" t="s">
        <v>196</v>
      </c>
      <c r="V168" s="65" t="s">
        <v>175</v>
      </c>
      <c r="W168" s="65" t="s">
        <v>598</v>
      </c>
      <c r="X168" s="65" t="s">
        <v>1047</v>
      </c>
      <c r="Y168" s="65" t="s">
        <v>59</v>
      </c>
      <c r="Z168" s="65"/>
      <c r="AA168" s="65" t="s">
        <v>188</v>
      </c>
      <c r="AB168" s="65" t="s">
        <v>546</v>
      </c>
      <c r="AC168" s="65" t="s">
        <v>547</v>
      </c>
      <c r="AD168" s="62">
        <v>1</v>
      </c>
      <c r="AE168" s="62">
        <v>1</v>
      </c>
      <c r="AF168" s="69">
        <v>0</v>
      </c>
      <c r="AG168" s="65" t="s">
        <v>196</v>
      </c>
      <c r="AH168" s="65" t="s">
        <v>196</v>
      </c>
      <c r="AI168" s="144"/>
    </row>
    <row r="169" spans="1:35" ht="45" customHeight="1" x14ac:dyDescent="0.2">
      <c r="A169" s="83">
        <v>167</v>
      </c>
      <c r="B169" s="66" t="s">
        <v>1410</v>
      </c>
      <c r="C169" s="67" t="s">
        <v>111</v>
      </c>
      <c r="D169" s="68">
        <v>46213</v>
      </c>
      <c r="E169" s="65" t="s">
        <v>1416</v>
      </c>
      <c r="F169" s="36" t="s">
        <v>1417</v>
      </c>
      <c r="G169" s="83" t="s">
        <v>1418</v>
      </c>
      <c r="H169" s="65" t="s">
        <v>148</v>
      </c>
      <c r="I169" s="65" t="s">
        <v>202</v>
      </c>
      <c r="J169" s="68">
        <v>46213</v>
      </c>
      <c r="K169" s="62" t="s">
        <v>2</v>
      </c>
      <c r="L169" s="65" t="s">
        <v>1419</v>
      </c>
      <c r="M169" s="65" t="s">
        <v>1420</v>
      </c>
      <c r="N169" s="65" t="s">
        <v>196</v>
      </c>
      <c r="O169" s="65" t="s">
        <v>196</v>
      </c>
      <c r="P169" s="65" t="s">
        <v>196</v>
      </c>
      <c r="Q169" s="65" t="s">
        <v>196</v>
      </c>
      <c r="R169" s="65" t="s">
        <v>196</v>
      </c>
      <c r="S169" s="65" t="s">
        <v>196</v>
      </c>
      <c r="T169" s="65" t="s">
        <v>196</v>
      </c>
      <c r="U169" s="65" t="s">
        <v>196</v>
      </c>
      <c r="V169" s="65" t="s">
        <v>175</v>
      </c>
      <c r="W169" s="65" t="s">
        <v>598</v>
      </c>
      <c r="X169" s="65" t="s">
        <v>1047</v>
      </c>
      <c r="Y169" s="65"/>
      <c r="Z169" s="65"/>
      <c r="AA169" s="65"/>
      <c r="AB169" s="65"/>
      <c r="AC169" s="65"/>
      <c r="AD169" s="89">
        <v>1</v>
      </c>
      <c r="AE169" s="89">
        <v>1</v>
      </c>
      <c r="AF169" s="84">
        <v>0</v>
      </c>
      <c r="AG169" s="65" t="s">
        <v>196</v>
      </c>
      <c r="AH169" s="65" t="s">
        <v>196</v>
      </c>
      <c r="AI169" s="144"/>
    </row>
    <row r="170" spans="1:35" ht="45" customHeight="1" x14ac:dyDescent="0.2">
      <c r="A170" s="83">
        <v>168</v>
      </c>
      <c r="B170" s="66" t="s">
        <v>445</v>
      </c>
      <c r="C170" s="67" t="s">
        <v>107</v>
      </c>
      <c r="D170" s="67">
        <v>46101</v>
      </c>
      <c r="E170" s="65" t="s">
        <v>446</v>
      </c>
      <c r="F170" s="36" t="s">
        <v>548</v>
      </c>
      <c r="G170" s="83" t="s">
        <v>448</v>
      </c>
      <c r="H170" s="65" t="s">
        <v>142</v>
      </c>
      <c r="I170" s="65" t="s">
        <v>198</v>
      </c>
      <c r="J170" s="68">
        <v>46105</v>
      </c>
      <c r="K170" s="62" t="s">
        <v>2</v>
      </c>
      <c r="L170" s="65" t="s">
        <v>913</v>
      </c>
      <c r="M170" s="65" t="s">
        <v>914</v>
      </c>
      <c r="N170" s="65" t="s">
        <v>3</v>
      </c>
      <c r="O170" s="65" t="s">
        <v>196</v>
      </c>
      <c r="P170" s="65" t="s">
        <v>196</v>
      </c>
      <c r="Q170" s="65" t="s">
        <v>196</v>
      </c>
      <c r="R170" s="65" t="s">
        <v>196</v>
      </c>
      <c r="S170" s="65" t="s">
        <v>196</v>
      </c>
      <c r="T170" s="65" t="s">
        <v>196</v>
      </c>
      <c r="U170" s="65" t="s">
        <v>196</v>
      </c>
      <c r="V170" s="65" t="s">
        <v>173</v>
      </c>
      <c r="W170" s="65" t="s">
        <v>599</v>
      </c>
      <c r="X170" s="98" t="s">
        <v>166</v>
      </c>
      <c r="Y170" s="98" t="s">
        <v>84</v>
      </c>
      <c r="Z170" s="65" t="s">
        <v>447</v>
      </c>
      <c r="AA170" s="65" t="s">
        <v>188</v>
      </c>
      <c r="AB170" s="65">
        <v>7753093329</v>
      </c>
      <c r="AC170" s="65"/>
      <c r="AD170" s="62">
        <v>1</v>
      </c>
      <c r="AE170" s="62">
        <v>63</v>
      </c>
      <c r="AF170" s="69">
        <v>250</v>
      </c>
      <c r="AG170" s="62" t="s">
        <v>132</v>
      </c>
      <c r="AH170" s="65" t="s">
        <v>835</v>
      </c>
      <c r="AI170" s="144"/>
    </row>
    <row r="171" spans="1:35" ht="45" customHeight="1" x14ac:dyDescent="0.2">
      <c r="A171" s="83">
        <v>169</v>
      </c>
      <c r="B171" s="66" t="s">
        <v>641</v>
      </c>
      <c r="C171" s="67" t="s">
        <v>108</v>
      </c>
      <c r="D171" s="68">
        <v>46134</v>
      </c>
      <c r="E171" s="65" t="s">
        <v>657</v>
      </c>
      <c r="F171" s="36" t="s">
        <v>1056</v>
      </c>
      <c r="G171" s="83" t="s">
        <v>658</v>
      </c>
      <c r="H171" s="65" t="s">
        <v>4</v>
      </c>
      <c r="I171" s="65" t="s">
        <v>195</v>
      </c>
      <c r="J171" s="68">
        <v>46134</v>
      </c>
      <c r="K171" s="62" t="s">
        <v>2</v>
      </c>
      <c r="L171" s="65" t="s">
        <v>1005</v>
      </c>
      <c r="M171" s="65" t="s">
        <v>1006</v>
      </c>
      <c r="N171" s="65" t="s">
        <v>196</v>
      </c>
      <c r="O171" s="65" t="s">
        <v>196</v>
      </c>
      <c r="P171" s="65" t="s">
        <v>196</v>
      </c>
      <c r="Q171" s="65" t="s">
        <v>196</v>
      </c>
      <c r="R171" s="65" t="s">
        <v>196</v>
      </c>
      <c r="S171" s="65" t="s">
        <v>196</v>
      </c>
      <c r="T171" s="65" t="s">
        <v>196</v>
      </c>
      <c r="U171" s="65" t="s">
        <v>196</v>
      </c>
      <c r="V171" s="65" t="s">
        <v>175</v>
      </c>
      <c r="W171" s="65" t="s">
        <v>598</v>
      </c>
      <c r="X171" s="65" t="s">
        <v>1047</v>
      </c>
      <c r="Y171" s="65" t="s">
        <v>55</v>
      </c>
      <c r="Z171" s="65"/>
      <c r="AA171" s="65"/>
      <c r="AB171" s="65"/>
      <c r="AC171" s="65"/>
      <c r="AD171" s="62">
        <v>0</v>
      </c>
      <c r="AE171" s="62">
        <f>AF171/4</f>
        <v>0</v>
      </c>
      <c r="AF171" s="69">
        <v>0</v>
      </c>
      <c r="AG171" s="65" t="s">
        <v>196</v>
      </c>
      <c r="AH171" s="65" t="s">
        <v>196</v>
      </c>
      <c r="AI171" s="144"/>
    </row>
    <row r="172" spans="1:35" ht="45" customHeight="1" x14ac:dyDescent="0.2">
      <c r="A172" s="83">
        <v>170</v>
      </c>
      <c r="B172" s="66" t="s">
        <v>1412</v>
      </c>
      <c r="C172" s="67" t="s">
        <v>111</v>
      </c>
      <c r="D172" s="68">
        <v>46213</v>
      </c>
      <c r="E172" s="65" t="s">
        <v>1423</v>
      </c>
      <c r="F172" s="36" t="s">
        <v>163</v>
      </c>
      <c r="G172" s="83" t="s">
        <v>1424</v>
      </c>
      <c r="H172" s="65" t="s">
        <v>1425</v>
      </c>
      <c r="I172" s="65" t="s">
        <v>202</v>
      </c>
      <c r="J172" s="68">
        <v>46213</v>
      </c>
      <c r="K172" s="62" t="s">
        <v>2</v>
      </c>
      <c r="L172" s="65" t="s">
        <v>196</v>
      </c>
      <c r="M172" s="65" t="s">
        <v>1431</v>
      </c>
      <c r="N172" s="65" t="s">
        <v>196</v>
      </c>
      <c r="O172" s="65" t="s">
        <v>196</v>
      </c>
      <c r="P172" s="65" t="s">
        <v>196</v>
      </c>
      <c r="Q172" s="65" t="s">
        <v>196</v>
      </c>
      <c r="R172" s="65" t="s">
        <v>196</v>
      </c>
      <c r="S172" s="65" t="s">
        <v>196</v>
      </c>
      <c r="T172" s="65" t="s">
        <v>196</v>
      </c>
      <c r="U172" s="65" t="s">
        <v>196</v>
      </c>
      <c r="V172" s="65" t="s">
        <v>175</v>
      </c>
      <c r="W172" s="65" t="s">
        <v>598</v>
      </c>
      <c r="X172" s="65" t="s">
        <v>1047</v>
      </c>
      <c r="Y172" s="65"/>
      <c r="Z172" s="65"/>
      <c r="AA172" s="65"/>
      <c r="AB172" s="65"/>
      <c r="AC172" s="65"/>
      <c r="AD172" s="89">
        <v>1</v>
      </c>
      <c r="AE172" s="89">
        <v>1</v>
      </c>
      <c r="AF172" s="84">
        <v>0</v>
      </c>
      <c r="AG172" s="65" t="s">
        <v>196</v>
      </c>
      <c r="AH172" s="65" t="s">
        <v>196</v>
      </c>
      <c r="AI172" s="144"/>
    </row>
    <row r="173" spans="1:35" ht="45" customHeight="1" x14ac:dyDescent="0.2">
      <c r="A173" s="83">
        <v>171</v>
      </c>
      <c r="B173" s="66" t="s">
        <v>729</v>
      </c>
      <c r="C173" s="67" t="s">
        <v>109</v>
      </c>
      <c r="D173" s="68">
        <v>46147</v>
      </c>
      <c r="E173" s="65" t="s">
        <v>730</v>
      </c>
      <c r="F173" s="36" t="s">
        <v>1233</v>
      </c>
      <c r="G173" s="83" t="s">
        <v>1082</v>
      </c>
      <c r="H173" s="65" t="s">
        <v>4</v>
      </c>
      <c r="I173" s="65" t="s">
        <v>198</v>
      </c>
      <c r="J173" s="68">
        <v>46147</v>
      </c>
      <c r="K173" s="62" t="s">
        <v>2</v>
      </c>
      <c r="L173" s="65" t="s">
        <v>196</v>
      </c>
      <c r="M173" s="83" t="s">
        <v>1083</v>
      </c>
      <c r="N173" s="65" t="s">
        <v>196</v>
      </c>
      <c r="O173" s="65" t="s">
        <v>196</v>
      </c>
      <c r="P173" s="65" t="s">
        <v>196</v>
      </c>
      <c r="Q173" s="65" t="s">
        <v>196</v>
      </c>
      <c r="R173" s="65" t="s">
        <v>196</v>
      </c>
      <c r="S173" s="65" t="s">
        <v>196</v>
      </c>
      <c r="T173" s="65" t="s">
        <v>196</v>
      </c>
      <c r="U173" s="65" t="s">
        <v>196</v>
      </c>
      <c r="V173" s="65" t="s">
        <v>176</v>
      </c>
      <c r="W173" s="65" t="s">
        <v>598</v>
      </c>
      <c r="X173" s="83" t="s">
        <v>1047</v>
      </c>
      <c r="Y173" s="65"/>
      <c r="Z173" s="65"/>
      <c r="AA173" s="65"/>
      <c r="AB173" s="83"/>
      <c r="AC173" s="83"/>
      <c r="AD173" s="62">
        <v>0</v>
      </c>
      <c r="AE173" s="62">
        <f>AF173/4</f>
        <v>0</v>
      </c>
      <c r="AF173" s="69">
        <v>0</v>
      </c>
      <c r="AG173" s="65" t="s">
        <v>196</v>
      </c>
      <c r="AH173" s="65" t="s">
        <v>196</v>
      </c>
      <c r="AI173" s="144"/>
    </row>
    <row r="174" spans="1:35" ht="45" customHeight="1" x14ac:dyDescent="0.2">
      <c r="A174" s="83">
        <v>172</v>
      </c>
      <c r="B174" s="66" t="s">
        <v>1762</v>
      </c>
      <c r="C174" s="67" t="s">
        <v>112</v>
      </c>
      <c r="D174" s="68">
        <v>46260</v>
      </c>
      <c r="E174" s="65" t="s">
        <v>1763</v>
      </c>
      <c r="F174" s="36" t="s">
        <v>1386</v>
      </c>
      <c r="G174" s="83" t="s">
        <v>1764</v>
      </c>
      <c r="H174" s="65" t="s">
        <v>140</v>
      </c>
      <c r="I174" s="65" t="s">
        <v>202</v>
      </c>
      <c r="J174" s="68">
        <v>46260</v>
      </c>
      <c r="K174" s="62" t="s">
        <v>2</v>
      </c>
      <c r="L174" s="65" t="s">
        <v>196</v>
      </c>
      <c r="M174" s="65" t="s">
        <v>1765</v>
      </c>
      <c r="N174" s="65" t="s">
        <v>196</v>
      </c>
      <c r="O174" s="65" t="s">
        <v>196</v>
      </c>
      <c r="P174" s="65" t="s">
        <v>196</v>
      </c>
      <c r="Q174" s="65" t="s">
        <v>196</v>
      </c>
      <c r="R174" s="65" t="s">
        <v>196</v>
      </c>
      <c r="S174" s="65" t="s">
        <v>196</v>
      </c>
      <c r="T174" s="65" t="s">
        <v>196</v>
      </c>
      <c r="U174" s="65" t="s">
        <v>196</v>
      </c>
      <c r="V174" s="65" t="s">
        <v>179</v>
      </c>
      <c r="W174" s="65" t="s">
        <v>598</v>
      </c>
      <c r="X174" s="65" t="s">
        <v>1047</v>
      </c>
      <c r="Y174" s="65"/>
      <c r="Z174" s="65"/>
      <c r="AA174" s="65"/>
      <c r="AB174" s="65"/>
      <c r="AC174" s="65"/>
      <c r="AD174" s="89">
        <v>1</v>
      </c>
      <c r="AE174" s="89"/>
      <c r="AF174" s="84"/>
      <c r="AG174" s="65" t="s">
        <v>196</v>
      </c>
      <c r="AH174" s="65" t="s">
        <v>196</v>
      </c>
      <c r="AI174" s="144"/>
    </row>
    <row r="175" spans="1:35" ht="45" customHeight="1" x14ac:dyDescent="0.2">
      <c r="A175" s="83">
        <v>173</v>
      </c>
      <c r="B175" s="66" t="s">
        <v>1524</v>
      </c>
      <c r="C175" s="67" t="s">
        <v>112</v>
      </c>
      <c r="D175" s="68">
        <v>46237</v>
      </c>
      <c r="E175" s="65" t="s">
        <v>1538</v>
      </c>
      <c r="F175" s="36" t="s">
        <v>465</v>
      </c>
      <c r="G175" s="83" t="s">
        <v>1555</v>
      </c>
      <c r="H175" s="65" t="s">
        <v>140</v>
      </c>
      <c r="I175" s="65" t="s">
        <v>195</v>
      </c>
      <c r="J175" s="68">
        <v>46237</v>
      </c>
      <c r="K175" s="62" t="s">
        <v>2</v>
      </c>
      <c r="L175" s="65" t="s">
        <v>196</v>
      </c>
      <c r="M175" s="65" t="s">
        <v>1559</v>
      </c>
      <c r="N175" s="65" t="s">
        <v>196</v>
      </c>
      <c r="O175" s="65" t="s">
        <v>196</v>
      </c>
      <c r="P175" s="65" t="s">
        <v>196</v>
      </c>
      <c r="Q175" s="65" t="s">
        <v>196</v>
      </c>
      <c r="R175" s="65" t="s">
        <v>196</v>
      </c>
      <c r="S175" s="65" t="s">
        <v>196</v>
      </c>
      <c r="T175" s="65" t="s">
        <v>196</v>
      </c>
      <c r="U175" s="65" t="s">
        <v>196</v>
      </c>
      <c r="V175" s="65" t="s">
        <v>179</v>
      </c>
      <c r="W175" s="65" t="s">
        <v>598</v>
      </c>
      <c r="X175" s="65" t="s">
        <v>1047</v>
      </c>
      <c r="Y175" s="65"/>
      <c r="Z175" s="65"/>
      <c r="AA175" s="65" t="s">
        <v>188</v>
      </c>
      <c r="AB175" s="65"/>
      <c r="AC175" s="65"/>
      <c r="AD175" s="89">
        <v>1</v>
      </c>
      <c r="AE175" s="89">
        <v>1</v>
      </c>
      <c r="AF175" s="84">
        <v>0</v>
      </c>
      <c r="AG175" s="65" t="s">
        <v>196</v>
      </c>
      <c r="AH175" s="65" t="s">
        <v>196</v>
      </c>
      <c r="AI175" s="144"/>
    </row>
    <row r="176" spans="1:35" ht="45" customHeight="1" x14ac:dyDescent="0.2">
      <c r="A176" s="83">
        <v>174</v>
      </c>
      <c r="B176" s="66" t="s">
        <v>435</v>
      </c>
      <c r="C176" s="67" t="s">
        <v>107</v>
      </c>
      <c r="D176" s="67">
        <v>46099</v>
      </c>
      <c r="E176" s="65" t="s">
        <v>436</v>
      </c>
      <c r="F176" s="67" t="s">
        <v>466</v>
      </c>
      <c r="G176" s="83" t="s">
        <v>437</v>
      </c>
      <c r="H176" s="65" t="s">
        <v>140</v>
      </c>
      <c r="I176" s="65" t="s">
        <v>198</v>
      </c>
      <c r="J176" s="68">
        <v>46104</v>
      </c>
      <c r="K176" s="62" t="s">
        <v>2</v>
      </c>
      <c r="L176" s="65" t="s">
        <v>196</v>
      </c>
      <c r="M176" s="65" t="s">
        <v>467</v>
      </c>
      <c r="N176" s="65" t="s">
        <v>196</v>
      </c>
      <c r="O176" s="65" t="s">
        <v>196</v>
      </c>
      <c r="P176" s="65" t="s">
        <v>196</v>
      </c>
      <c r="Q176" s="65" t="s">
        <v>196</v>
      </c>
      <c r="R176" s="65" t="s">
        <v>196</v>
      </c>
      <c r="S176" s="65" t="s">
        <v>196</v>
      </c>
      <c r="T176" s="65" t="s">
        <v>196</v>
      </c>
      <c r="U176" s="65" t="s">
        <v>196</v>
      </c>
      <c r="V176" s="65" t="s">
        <v>175</v>
      </c>
      <c r="W176" s="65" t="s">
        <v>598</v>
      </c>
      <c r="X176" s="65" t="s">
        <v>1047</v>
      </c>
      <c r="Y176" s="65" t="s">
        <v>55</v>
      </c>
      <c r="Z176" s="65"/>
      <c r="AA176" s="65" t="s">
        <v>189</v>
      </c>
      <c r="AB176" s="65" t="s">
        <v>468</v>
      </c>
      <c r="AC176" s="65"/>
      <c r="AD176" s="62">
        <v>1</v>
      </c>
      <c r="AE176" s="62">
        <v>1</v>
      </c>
      <c r="AF176" s="69">
        <v>0</v>
      </c>
      <c r="AG176" s="65" t="s">
        <v>196</v>
      </c>
      <c r="AH176" s="65" t="s">
        <v>196</v>
      </c>
      <c r="AI176" s="144"/>
    </row>
    <row r="177" spans="1:35" ht="45" customHeight="1" x14ac:dyDescent="0.2">
      <c r="A177" s="83">
        <v>175</v>
      </c>
      <c r="B177" s="66" t="s">
        <v>731</v>
      </c>
      <c r="C177" s="67" t="s">
        <v>109</v>
      </c>
      <c r="D177" s="68">
        <v>46147</v>
      </c>
      <c r="E177" s="65" t="s">
        <v>732</v>
      </c>
      <c r="F177" s="36" t="s">
        <v>1057</v>
      </c>
      <c r="G177" s="83" t="s">
        <v>1130</v>
      </c>
      <c r="H177" s="65" t="s">
        <v>143</v>
      </c>
      <c r="I177" s="65" t="s">
        <v>198</v>
      </c>
      <c r="J177" s="68">
        <v>46147</v>
      </c>
      <c r="K177" s="62" t="s">
        <v>2</v>
      </c>
      <c r="L177" s="65" t="s">
        <v>196</v>
      </c>
      <c r="M177" s="83" t="s">
        <v>1131</v>
      </c>
      <c r="N177" s="65" t="s">
        <v>196</v>
      </c>
      <c r="O177" s="65" t="s">
        <v>196</v>
      </c>
      <c r="P177" s="65" t="s">
        <v>196</v>
      </c>
      <c r="Q177" s="65" t="s">
        <v>196</v>
      </c>
      <c r="R177" s="65" t="s">
        <v>196</v>
      </c>
      <c r="S177" s="65" t="s">
        <v>196</v>
      </c>
      <c r="T177" s="65" t="s">
        <v>196</v>
      </c>
      <c r="U177" s="65" t="s">
        <v>196</v>
      </c>
      <c r="V177" s="65" t="s">
        <v>176</v>
      </c>
      <c r="W177" s="65" t="s">
        <v>598</v>
      </c>
      <c r="X177" s="83" t="s">
        <v>1047</v>
      </c>
      <c r="Y177" s="65"/>
      <c r="Z177" s="65"/>
      <c r="AA177" s="65"/>
      <c r="AB177" s="83"/>
      <c r="AC177" s="83"/>
      <c r="AD177" s="62">
        <v>0</v>
      </c>
      <c r="AE177" s="62">
        <f>AF177/4</f>
        <v>0</v>
      </c>
      <c r="AF177" s="69">
        <v>0</v>
      </c>
      <c r="AG177" s="65" t="s">
        <v>196</v>
      </c>
      <c r="AH177" s="65" t="s">
        <v>196</v>
      </c>
      <c r="AI177" s="144"/>
    </row>
    <row r="178" spans="1:35" ht="45" customHeight="1" x14ac:dyDescent="0.2">
      <c r="A178" s="83">
        <v>176</v>
      </c>
      <c r="B178" s="66" t="s">
        <v>1109</v>
      </c>
      <c r="C178" s="67" t="s">
        <v>110</v>
      </c>
      <c r="D178" s="68">
        <v>46174</v>
      </c>
      <c r="E178" s="65" t="s">
        <v>211</v>
      </c>
      <c r="F178" s="36" t="s">
        <v>1056</v>
      </c>
      <c r="G178" s="83" t="s">
        <v>1143</v>
      </c>
      <c r="H178" s="65" t="s">
        <v>4</v>
      </c>
      <c r="I178" s="65" t="s">
        <v>195</v>
      </c>
      <c r="J178" s="68">
        <v>46175</v>
      </c>
      <c r="K178" s="62" t="s">
        <v>2</v>
      </c>
      <c r="L178" s="65" t="s">
        <v>196</v>
      </c>
      <c r="M178" s="65" t="s">
        <v>1144</v>
      </c>
      <c r="N178" s="65" t="s">
        <v>196</v>
      </c>
      <c r="O178" s="65" t="s">
        <v>196</v>
      </c>
      <c r="P178" s="65" t="s">
        <v>196</v>
      </c>
      <c r="Q178" s="65" t="s">
        <v>196</v>
      </c>
      <c r="R178" s="65" t="s">
        <v>196</v>
      </c>
      <c r="S178" s="65" t="s">
        <v>196</v>
      </c>
      <c r="T178" s="65" t="s">
        <v>196</v>
      </c>
      <c r="U178" s="65" t="s">
        <v>196</v>
      </c>
      <c r="V178" s="65" t="s">
        <v>175</v>
      </c>
      <c r="W178" s="65" t="s">
        <v>598</v>
      </c>
      <c r="X178" s="65" t="s">
        <v>1047</v>
      </c>
      <c r="Y178" s="65"/>
      <c r="Z178" s="65"/>
      <c r="AA178" s="65"/>
      <c r="AB178" s="65"/>
      <c r="AC178" s="65"/>
      <c r="AD178" s="62"/>
      <c r="AE178" s="62"/>
      <c r="AF178" s="84"/>
      <c r="AG178" s="65" t="s">
        <v>196</v>
      </c>
      <c r="AH178" s="65" t="s">
        <v>196</v>
      </c>
      <c r="AI178" s="144"/>
    </row>
    <row r="179" spans="1:35" ht="45" customHeight="1" x14ac:dyDescent="0.2">
      <c r="A179" s="83">
        <v>177</v>
      </c>
      <c r="B179" s="66" t="s">
        <v>1104</v>
      </c>
      <c r="C179" s="67" t="s">
        <v>109</v>
      </c>
      <c r="D179" s="68">
        <v>46168</v>
      </c>
      <c r="E179" s="65" t="s">
        <v>1126</v>
      </c>
      <c r="F179" s="36" t="s">
        <v>1057</v>
      </c>
      <c r="G179" s="83" t="s">
        <v>1132</v>
      </c>
      <c r="H179" s="65" t="s">
        <v>4</v>
      </c>
      <c r="I179" s="65" t="s">
        <v>202</v>
      </c>
      <c r="J179" s="68">
        <v>46169</v>
      </c>
      <c r="K179" s="62" t="s">
        <v>2</v>
      </c>
      <c r="L179" s="65" t="s">
        <v>196</v>
      </c>
      <c r="M179" s="65" t="s">
        <v>1133</v>
      </c>
      <c r="N179" s="65" t="s">
        <v>196</v>
      </c>
      <c r="O179" s="65" t="s">
        <v>196</v>
      </c>
      <c r="P179" s="65" t="s">
        <v>196</v>
      </c>
      <c r="Q179" s="65" t="s">
        <v>196</v>
      </c>
      <c r="R179" s="65" t="s">
        <v>196</v>
      </c>
      <c r="S179" s="65" t="s">
        <v>196</v>
      </c>
      <c r="T179" s="65" t="s">
        <v>196</v>
      </c>
      <c r="U179" s="65" t="s">
        <v>196</v>
      </c>
      <c r="V179" s="65" t="s">
        <v>176</v>
      </c>
      <c r="W179" s="65" t="s">
        <v>598</v>
      </c>
      <c r="X179" s="65" t="s">
        <v>1047</v>
      </c>
      <c r="Y179" s="65"/>
      <c r="Z179" s="65"/>
      <c r="AA179" s="65"/>
      <c r="AB179" s="65"/>
      <c r="AC179" s="65"/>
      <c r="AD179" s="62">
        <v>0</v>
      </c>
      <c r="AE179" s="62">
        <v>0</v>
      </c>
      <c r="AF179" s="69">
        <v>0</v>
      </c>
      <c r="AG179" s="65" t="s">
        <v>196</v>
      </c>
      <c r="AH179" s="65" t="s">
        <v>196</v>
      </c>
      <c r="AI179" s="144"/>
    </row>
    <row r="180" spans="1:35" ht="45" customHeight="1" x14ac:dyDescent="0.2">
      <c r="A180" s="83">
        <v>178</v>
      </c>
      <c r="B180" s="66" t="s">
        <v>1251</v>
      </c>
      <c r="C180" s="67" t="s">
        <v>110</v>
      </c>
      <c r="D180" s="68">
        <v>46188</v>
      </c>
      <c r="E180" s="65" t="s">
        <v>1252</v>
      </c>
      <c r="F180" s="36" t="s">
        <v>1233</v>
      </c>
      <c r="G180" s="101" t="s">
        <v>1253</v>
      </c>
      <c r="H180" s="65" t="s">
        <v>4</v>
      </c>
      <c r="I180" s="65" t="s">
        <v>198</v>
      </c>
      <c r="J180" s="68">
        <v>46188</v>
      </c>
      <c r="K180" s="62" t="s">
        <v>2</v>
      </c>
      <c r="L180" s="65" t="s">
        <v>196</v>
      </c>
      <c r="M180" s="121" t="s">
        <v>1254</v>
      </c>
      <c r="N180" s="65" t="s">
        <v>196</v>
      </c>
      <c r="O180" s="65" t="s">
        <v>196</v>
      </c>
      <c r="P180" s="65" t="s">
        <v>196</v>
      </c>
      <c r="Q180" s="65" t="s">
        <v>196</v>
      </c>
      <c r="R180" s="65" t="s">
        <v>196</v>
      </c>
      <c r="S180" s="65" t="s">
        <v>196</v>
      </c>
      <c r="T180" s="65" t="s">
        <v>196</v>
      </c>
      <c r="U180" s="65" t="s">
        <v>196</v>
      </c>
      <c r="V180" s="65" t="s">
        <v>176</v>
      </c>
      <c r="W180" s="65" t="s">
        <v>598</v>
      </c>
      <c r="X180" s="65" t="s">
        <v>1047</v>
      </c>
      <c r="Y180" s="65"/>
      <c r="Z180" s="65"/>
      <c r="AA180" s="65" t="s">
        <v>188</v>
      </c>
      <c r="AB180" s="65" t="s">
        <v>1255</v>
      </c>
      <c r="AC180" s="65"/>
      <c r="AD180" s="62">
        <v>0</v>
      </c>
      <c r="AE180" s="62">
        <v>0</v>
      </c>
      <c r="AF180" s="84">
        <v>0</v>
      </c>
      <c r="AG180" s="65" t="s">
        <v>196</v>
      </c>
      <c r="AH180" s="65" t="s">
        <v>196</v>
      </c>
      <c r="AI180" s="144"/>
    </row>
    <row r="181" spans="1:35" ht="45" customHeight="1" x14ac:dyDescent="0.2">
      <c r="A181" s="83">
        <v>179</v>
      </c>
      <c r="B181" s="66" t="s">
        <v>303</v>
      </c>
      <c r="C181" s="67" t="s">
        <v>106</v>
      </c>
      <c r="D181" s="68">
        <v>46072</v>
      </c>
      <c r="E181" s="65" t="s">
        <v>310</v>
      </c>
      <c r="F181" s="36" t="s">
        <v>470</v>
      </c>
      <c r="G181" s="83" t="s">
        <v>311</v>
      </c>
      <c r="H181" s="65" t="s">
        <v>4</v>
      </c>
      <c r="I181" s="65" t="s">
        <v>195</v>
      </c>
      <c r="J181" s="68">
        <v>46077</v>
      </c>
      <c r="K181" s="62" t="s">
        <v>2</v>
      </c>
      <c r="L181" s="65" t="s">
        <v>196</v>
      </c>
      <c r="M181" s="65" t="s">
        <v>471</v>
      </c>
      <c r="N181" s="65" t="s">
        <v>196</v>
      </c>
      <c r="O181" s="65" t="s">
        <v>196</v>
      </c>
      <c r="P181" s="65" t="s">
        <v>196</v>
      </c>
      <c r="Q181" s="65" t="s">
        <v>196</v>
      </c>
      <c r="R181" s="65" t="s">
        <v>196</v>
      </c>
      <c r="S181" s="65" t="s">
        <v>196</v>
      </c>
      <c r="T181" s="65" t="s">
        <v>196</v>
      </c>
      <c r="U181" s="65" t="s">
        <v>196</v>
      </c>
      <c r="V181" s="65" t="s">
        <v>175</v>
      </c>
      <c r="W181" s="65" t="s">
        <v>598</v>
      </c>
      <c r="X181" s="65" t="s">
        <v>1047</v>
      </c>
      <c r="Y181" s="65" t="s">
        <v>55</v>
      </c>
      <c r="Z181" s="65"/>
      <c r="AA181" s="65" t="s">
        <v>188</v>
      </c>
      <c r="AB181" s="65" t="s">
        <v>472</v>
      </c>
      <c r="AC181" s="65"/>
      <c r="AD181" s="62">
        <v>1</v>
      </c>
      <c r="AE181" s="62">
        <v>1</v>
      </c>
      <c r="AF181" s="69">
        <v>0</v>
      </c>
      <c r="AG181" s="65" t="s">
        <v>196</v>
      </c>
      <c r="AH181" s="65" t="s">
        <v>196</v>
      </c>
      <c r="AI181" s="144"/>
    </row>
    <row r="182" spans="1:35" ht="45" customHeight="1" x14ac:dyDescent="0.2">
      <c r="A182" s="83">
        <v>180</v>
      </c>
      <c r="B182" s="66" t="s">
        <v>762</v>
      </c>
      <c r="C182" s="67" t="s">
        <v>109</v>
      </c>
      <c r="D182" s="68">
        <v>46157</v>
      </c>
      <c r="E182" s="65" t="s">
        <v>766</v>
      </c>
      <c r="F182" s="88" t="s">
        <v>470</v>
      </c>
      <c r="G182" s="83" t="s">
        <v>767</v>
      </c>
      <c r="H182" s="65" t="s">
        <v>4</v>
      </c>
      <c r="I182" s="65" t="s">
        <v>202</v>
      </c>
      <c r="J182" s="68">
        <v>46157</v>
      </c>
      <c r="K182" s="62" t="s">
        <v>2</v>
      </c>
      <c r="L182" s="65" t="s">
        <v>196</v>
      </c>
      <c r="M182" s="65" t="s">
        <v>1027</v>
      </c>
      <c r="N182" s="65" t="s">
        <v>196</v>
      </c>
      <c r="O182" s="65" t="s">
        <v>196</v>
      </c>
      <c r="P182" s="65" t="s">
        <v>196</v>
      </c>
      <c r="Q182" s="65" t="s">
        <v>196</v>
      </c>
      <c r="R182" s="65" t="s">
        <v>196</v>
      </c>
      <c r="S182" s="65" t="s">
        <v>196</v>
      </c>
      <c r="T182" s="65" t="s">
        <v>196</v>
      </c>
      <c r="U182" s="65" t="s">
        <v>196</v>
      </c>
      <c r="V182" s="65" t="s">
        <v>175</v>
      </c>
      <c r="W182" s="65" t="s">
        <v>598</v>
      </c>
      <c r="X182" s="65" t="s">
        <v>1047</v>
      </c>
      <c r="Y182" s="65"/>
      <c r="Z182" s="65"/>
      <c r="AA182" s="65"/>
      <c r="AB182" s="83"/>
      <c r="AC182" s="83"/>
      <c r="AD182" s="62">
        <v>1</v>
      </c>
      <c r="AE182" s="62">
        <v>1</v>
      </c>
      <c r="AF182" s="69">
        <v>0</v>
      </c>
      <c r="AG182" s="65" t="s">
        <v>196</v>
      </c>
      <c r="AH182" s="65" t="s">
        <v>196</v>
      </c>
      <c r="AI182" s="144"/>
    </row>
    <row r="183" spans="1:35" ht="45" customHeight="1" x14ac:dyDescent="0.2">
      <c r="A183" s="83">
        <v>181</v>
      </c>
      <c r="B183" s="66" t="s">
        <v>1698</v>
      </c>
      <c r="C183" s="67" t="s">
        <v>112</v>
      </c>
      <c r="D183" s="68">
        <v>46253</v>
      </c>
      <c r="E183" s="65" t="s">
        <v>1699</v>
      </c>
      <c r="F183" s="36" t="s">
        <v>1403</v>
      </c>
      <c r="G183" s="83" t="s">
        <v>1700</v>
      </c>
      <c r="H183" s="65" t="s">
        <v>4</v>
      </c>
      <c r="I183" s="65" t="s">
        <v>198</v>
      </c>
      <c r="J183" s="68">
        <v>46254</v>
      </c>
      <c r="K183" s="62" t="s">
        <v>2</v>
      </c>
      <c r="L183" s="65" t="s">
        <v>196</v>
      </c>
      <c r="M183" s="65" t="s">
        <v>1027</v>
      </c>
      <c r="N183" s="65" t="s">
        <v>196</v>
      </c>
      <c r="O183" s="65" t="s">
        <v>196</v>
      </c>
      <c r="P183" s="65" t="s">
        <v>196</v>
      </c>
      <c r="Q183" s="65" t="s">
        <v>196</v>
      </c>
      <c r="R183" s="65" t="s">
        <v>196</v>
      </c>
      <c r="S183" s="65" t="s">
        <v>196</v>
      </c>
      <c r="T183" s="65" t="s">
        <v>196</v>
      </c>
      <c r="U183" s="65" t="s">
        <v>196</v>
      </c>
      <c r="V183" s="65" t="s">
        <v>175</v>
      </c>
      <c r="W183" s="65" t="s">
        <v>598</v>
      </c>
      <c r="X183" s="65" t="s">
        <v>1047</v>
      </c>
      <c r="Y183" s="65"/>
      <c r="Z183" s="65"/>
      <c r="AA183" s="65"/>
      <c r="AB183" s="65"/>
      <c r="AC183" s="65"/>
      <c r="AD183" s="89">
        <v>1</v>
      </c>
      <c r="AE183" s="89">
        <v>0</v>
      </c>
      <c r="AF183" s="84">
        <v>0</v>
      </c>
      <c r="AG183" s="65" t="s">
        <v>196</v>
      </c>
      <c r="AH183" s="65" t="s">
        <v>196</v>
      </c>
      <c r="AI183" s="144"/>
    </row>
    <row r="184" spans="1:35" ht="45" customHeight="1" x14ac:dyDescent="0.2">
      <c r="A184" s="83">
        <v>182</v>
      </c>
      <c r="B184" s="66" t="s">
        <v>1256</v>
      </c>
      <c r="C184" s="67" t="s">
        <v>110</v>
      </c>
      <c r="D184" s="68">
        <v>46188</v>
      </c>
      <c r="E184" s="65" t="s">
        <v>1257</v>
      </c>
      <c r="F184" s="36" t="s">
        <v>1057</v>
      </c>
      <c r="G184" s="101" t="s">
        <v>1258</v>
      </c>
      <c r="H184" s="65" t="s">
        <v>143</v>
      </c>
      <c r="I184" s="65" t="s">
        <v>198</v>
      </c>
      <c r="J184" s="68">
        <v>46188</v>
      </c>
      <c r="K184" s="62" t="s">
        <v>2</v>
      </c>
      <c r="L184" s="65" t="s">
        <v>196</v>
      </c>
      <c r="M184" s="121" t="s">
        <v>1259</v>
      </c>
      <c r="N184" s="65" t="s">
        <v>196</v>
      </c>
      <c r="O184" s="65" t="s">
        <v>196</v>
      </c>
      <c r="P184" s="65" t="s">
        <v>196</v>
      </c>
      <c r="Q184" s="65" t="s">
        <v>196</v>
      </c>
      <c r="R184" s="65" t="s">
        <v>196</v>
      </c>
      <c r="S184" s="65" t="s">
        <v>196</v>
      </c>
      <c r="T184" s="65" t="s">
        <v>196</v>
      </c>
      <c r="U184" s="65" t="s">
        <v>196</v>
      </c>
      <c r="V184" s="65" t="s">
        <v>176</v>
      </c>
      <c r="W184" s="65" t="s">
        <v>598</v>
      </c>
      <c r="X184" s="65" t="s">
        <v>1047</v>
      </c>
      <c r="Y184" s="65"/>
      <c r="Z184" s="65"/>
      <c r="AA184" s="65" t="s">
        <v>188</v>
      </c>
      <c r="AB184" s="65"/>
      <c r="AC184" s="65"/>
      <c r="AD184" s="62">
        <v>0</v>
      </c>
      <c r="AE184" s="62">
        <v>0</v>
      </c>
      <c r="AF184" s="84">
        <v>0</v>
      </c>
      <c r="AG184" s="65" t="s">
        <v>196</v>
      </c>
      <c r="AH184" s="65" t="s">
        <v>196</v>
      </c>
      <c r="AI184" s="144"/>
    </row>
    <row r="185" spans="1:35" ht="74.25" customHeight="1" x14ac:dyDescent="0.2">
      <c r="A185" s="83">
        <v>183</v>
      </c>
      <c r="B185" s="66" t="s">
        <v>510</v>
      </c>
      <c r="C185" s="67" t="s">
        <v>107</v>
      </c>
      <c r="D185" s="68">
        <v>46111</v>
      </c>
      <c r="E185" s="65" t="s">
        <v>511</v>
      </c>
      <c r="F185" s="36" t="s">
        <v>466</v>
      </c>
      <c r="G185" s="83" t="s">
        <v>512</v>
      </c>
      <c r="H185" s="65" t="s">
        <v>4</v>
      </c>
      <c r="I185" s="65" t="s">
        <v>198</v>
      </c>
      <c r="J185" s="68">
        <v>46111</v>
      </c>
      <c r="K185" s="62" t="s">
        <v>2</v>
      </c>
      <c r="L185" s="65" t="s">
        <v>196</v>
      </c>
      <c r="M185" s="65" t="s">
        <v>594</v>
      </c>
      <c r="N185" s="65" t="s">
        <v>196</v>
      </c>
      <c r="O185" s="65" t="s">
        <v>196</v>
      </c>
      <c r="P185" s="65" t="s">
        <v>196</v>
      </c>
      <c r="Q185" s="65" t="s">
        <v>196</v>
      </c>
      <c r="R185" s="65" t="s">
        <v>196</v>
      </c>
      <c r="S185" s="65" t="s">
        <v>196</v>
      </c>
      <c r="T185" s="65" t="s">
        <v>196</v>
      </c>
      <c r="U185" s="65" t="s">
        <v>196</v>
      </c>
      <c r="V185" s="65" t="s">
        <v>175</v>
      </c>
      <c r="W185" s="65" t="s">
        <v>598</v>
      </c>
      <c r="X185" s="65" t="s">
        <v>1047</v>
      </c>
      <c r="Y185" s="65"/>
      <c r="Z185" s="65"/>
      <c r="AA185" s="65"/>
      <c r="AB185" s="65"/>
      <c r="AC185" s="65"/>
      <c r="AD185" s="62">
        <v>1</v>
      </c>
      <c r="AE185" s="62">
        <v>1</v>
      </c>
      <c r="AF185" s="69">
        <v>0</v>
      </c>
      <c r="AG185" s="65" t="s">
        <v>196</v>
      </c>
      <c r="AH185" s="65" t="s">
        <v>196</v>
      </c>
      <c r="AI185" s="144"/>
    </row>
    <row r="186" spans="1:35" ht="45" customHeight="1" x14ac:dyDescent="0.2">
      <c r="A186" s="83">
        <v>184</v>
      </c>
      <c r="B186" s="66" t="s">
        <v>1741</v>
      </c>
      <c r="C186" s="67" t="s">
        <v>112</v>
      </c>
      <c r="D186" s="68">
        <v>46255</v>
      </c>
      <c r="E186" s="65" t="s">
        <v>1742</v>
      </c>
      <c r="F186" s="36" t="s">
        <v>1743</v>
      </c>
      <c r="G186" s="83" t="s">
        <v>1744</v>
      </c>
      <c r="H186" s="65" t="s">
        <v>4</v>
      </c>
      <c r="I186" s="65" t="s">
        <v>202</v>
      </c>
      <c r="J186" s="68">
        <v>46255</v>
      </c>
      <c r="K186" s="62" t="s">
        <v>2</v>
      </c>
      <c r="L186" s="65" t="s">
        <v>196</v>
      </c>
      <c r="M186" s="65" t="s">
        <v>1745</v>
      </c>
      <c r="N186" s="65" t="s">
        <v>196</v>
      </c>
      <c r="O186" s="65" t="s">
        <v>196</v>
      </c>
      <c r="P186" s="65" t="s">
        <v>196</v>
      </c>
      <c r="Q186" s="65" t="s">
        <v>196</v>
      </c>
      <c r="R186" s="65" t="s">
        <v>196</v>
      </c>
      <c r="S186" s="65" t="s">
        <v>196</v>
      </c>
      <c r="T186" s="65" t="s">
        <v>196</v>
      </c>
      <c r="U186" s="65" t="s">
        <v>196</v>
      </c>
      <c r="V186" s="65" t="s">
        <v>176</v>
      </c>
      <c r="W186" s="65" t="s">
        <v>598</v>
      </c>
      <c r="X186" s="65" t="s">
        <v>1047</v>
      </c>
      <c r="Y186" s="65"/>
      <c r="Z186" s="65"/>
      <c r="AA186" s="65"/>
      <c r="AB186" s="65"/>
      <c r="AC186" s="65"/>
      <c r="AD186" s="89">
        <v>1</v>
      </c>
      <c r="AE186" s="89"/>
      <c r="AF186" s="84"/>
      <c r="AG186" s="65" t="s">
        <v>196</v>
      </c>
      <c r="AH186" s="65" t="s">
        <v>196</v>
      </c>
      <c r="AI186" s="144"/>
    </row>
    <row r="187" spans="1:35" ht="45" customHeight="1" x14ac:dyDescent="0.2">
      <c r="A187" s="83">
        <v>185</v>
      </c>
      <c r="B187" s="66" t="s">
        <v>1399</v>
      </c>
      <c r="C187" s="67" t="s">
        <v>111</v>
      </c>
      <c r="D187" s="68">
        <v>46211</v>
      </c>
      <c r="E187" s="65" t="s">
        <v>1404</v>
      </c>
      <c r="F187" s="36" t="s">
        <v>1403</v>
      </c>
      <c r="G187" s="83" t="s">
        <v>1405</v>
      </c>
      <c r="H187" s="65" t="s">
        <v>4</v>
      </c>
      <c r="I187" s="65" t="s">
        <v>195</v>
      </c>
      <c r="J187" s="68">
        <v>46211</v>
      </c>
      <c r="K187" s="62" t="s">
        <v>2</v>
      </c>
      <c r="L187" s="65" t="s">
        <v>196</v>
      </c>
      <c r="M187" s="65" t="s">
        <v>1429</v>
      </c>
      <c r="N187" s="65" t="s">
        <v>196</v>
      </c>
      <c r="O187" s="65" t="s">
        <v>196</v>
      </c>
      <c r="P187" s="65" t="s">
        <v>196</v>
      </c>
      <c r="Q187" s="65" t="s">
        <v>196</v>
      </c>
      <c r="R187" s="65" t="s">
        <v>196</v>
      </c>
      <c r="S187" s="65" t="s">
        <v>196</v>
      </c>
      <c r="T187" s="65" t="s">
        <v>196</v>
      </c>
      <c r="U187" s="65" t="s">
        <v>196</v>
      </c>
      <c r="V187" s="65" t="s">
        <v>175</v>
      </c>
      <c r="W187" s="65" t="s">
        <v>598</v>
      </c>
      <c r="X187" s="65" t="s">
        <v>1047</v>
      </c>
      <c r="Y187" s="65"/>
      <c r="Z187" s="65"/>
      <c r="AA187" s="65"/>
      <c r="AB187" s="65"/>
      <c r="AC187" s="65"/>
      <c r="AD187" s="89">
        <v>1</v>
      </c>
      <c r="AE187" s="89">
        <v>1</v>
      </c>
      <c r="AF187" s="84">
        <v>0</v>
      </c>
      <c r="AG187" s="65" t="s">
        <v>196</v>
      </c>
      <c r="AH187" s="65" t="s">
        <v>196</v>
      </c>
      <c r="AI187" s="144"/>
    </row>
    <row r="188" spans="1:35" ht="45" customHeight="1" x14ac:dyDescent="0.2">
      <c r="A188" s="83">
        <v>186</v>
      </c>
      <c r="B188" s="66" t="s">
        <v>1411</v>
      </c>
      <c r="C188" s="67" t="s">
        <v>111</v>
      </c>
      <c r="D188" s="68">
        <v>46213</v>
      </c>
      <c r="E188" s="65" t="s">
        <v>1421</v>
      </c>
      <c r="F188" s="36" t="s">
        <v>1233</v>
      </c>
      <c r="G188" s="83" t="s">
        <v>1422</v>
      </c>
      <c r="H188" s="65" t="s">
        <v>4</v>
      </c>
      <c r="I188" s="65" t="s">
        <v>202</v>
      </c>
      <c r="J188" s="68">
        <v>46213</v>
      </c>
      <c r="K188" s="62" t="s">
        <v>2</v>
      </c>
      <c r="L188" s="65" t="s">
        <v>196</v>
      </c>
      <c r="M188" s="65" t="s">
        <v>1430</v>
      </c>
      <c r="N188" s="65" t="s">
        <v>196</v>
      </c>
      <c r="O188" s="65" t="s">
        <v>196</v>
      </c>
      <c r="P188" s="65" t="s">
        <v>196</v>
      </c>
      <c r="Q188" s="65" t="s">
        <v>196</v>
      </c>
      <c r="R188" s="65" t="s">
        <v>196</v>
      </c>
      <c r="S188" s="65" t="s">
        <v>196</v>
      </c>
      <c r="T188" s="65" t="s">
        <v>196</v>
      </c>
      <c r="U188" s="65" t="s">
        <v>196</v>
      </c>
      <c r="V188" s="65" t="s">
        <v>176</v>
      </c>
      <c r="W188" s="65" t="s">
        <v>598</v>
      </c>
      <c r="X188" s="65" t="s">
        <v>1047</v>
      </c>
      <c r="Y188" s="65"/>
      <c r="Z188" s="65"/>
      <c r="AA188" s="65"/>
      <c r="AB188" s="65"/>
      <c r="AC188" s="65"/>
      <c r="AD188" s="89">
        <v>1</v>
      </c>
      <c r="AE188" s="89">
        <v>1</v>
      </c>
      <c r="AF188" s="84">
        <v>0</v>
      </c>
      <c r="AG188" s="65" t="s">
        <v>196</v>
      </c>
      <c r="AH188" s="65" t="s">
        <v>196</v>
      </c>
      <c r="AI188" s="144"/>
    </row>
    <row r="189" spans="1:35" ht="45" customHeight="1" x14ac:dyDescent="0.2">
      <c r="A189" s="83">
        <v>187</v>
      </c>
      <c r="B189" s="66" t="s">
        <v>375</v>
      </c>
      <c r="C189" s="67" t="s">
        <v>107</v>
      </c>
      <c r="D189" s="68">
        <v>46086</v>
      </c>
      <c r="E189" s="65" t="s">
        <v>376</v>
      </c>
      <c r="F189" s="36" t="s">
        <v>571</v>
      </c>
      <c r="G189" s="83" t="s">
        <v>377</v>
      </c>
      <c r="H189" s="65" t="s">
        <v>229</v>
      </c>
      <c r="I189" s="65" t="s">
        <v>378</v>
      </c>
      <c r="J189" s="68">
        <v>46086</v>
      </c>
      <c r="K189" s="62" t="s">
        <v>2</v>
      </c>
      <c r="L189" s="65" t="s">
        <v>196</v>
      </c>
      <c r="M189" s="65" t="s">
        <v>404</v>
      </c>
      <c r="N189" s="65" t="s">
        <v>196</v>
      </c>
      <c r="O189" s="65" t="s">
        <v>196</v>
      </c>
      <c r="P189" s="65" t="s">
        <v>196</v>
      </c>
      <c r="Q189" s="65" t="s">
        <v>196</v>
      </c>
      <c r="R189" s="65" t="s">
        <v>196</v>
      </c>
      <c r="S189" s="65" t="s">
        <v>196</v>
      </c>
      <c r="T189" s="65" t="s">
        <v>196</v>
      </c>
      <c r="U189" s="65" t="s">
        <v>196</v>
      </c>
      <c r="V189" s="65" t="s">
        <v>175</v>
      </c>
      <c r="W189" s="65" t="s">
        <v>598</v>
      </c>
      <c r="X189" s="65" t="s">
        <v>1047</v>
      </c>
      <c r="Y189" s="65"/>
      <c r="Z189" s="65"/>
      <c r="AA189" s="65" t="s">
        <v>188</v>
      </c>
      <c r="AB189" s="65" t="s">
        <v>319</v>
      </c>
      <c r="AC189" s="65"/>
      <c r="AD189" s="62">
        <v>1</v>
      </c>
      <c r="AE189" s="62">
        <v>1</v>
      </c>
      <c r="AF189" s="69">
        <v>0</v>
      </c>
      <c r="AG189" s="65" t="s">
        <v>196</v>
      </c>
      <c r="AH189" s="65" t="s">
        <v>196</v>
      </c>
      <c r="AI189" s="144"/>
    </row>
    <row r="190" spans="1:35" ht="45" customHeight="1" x14ac:dyDescent="0.2">
      <c r="A190" s="83">
        <v>188</v>
      </c>
      <c r="B190" s="66" t="s">
        <v>250</v>
      </c>
      <c r="C190" s="133" t="s">
        <v>106</v>
      </c>
      <c r="D190" s="129">
        <v>46066</v>
      </c>
      <c r="E190" s="65" t="s">
        <v>251</v>
      </c>
      <c r="F190" s="134" t="s">
        <v>847</v>
      </c>
      <c r="G190" s="83" t="s">
        <v>845</v>
      </c>
      <c r="H190" s="65" t="s">
        <v>4</v>
      </c>
      <c r="I190" s="135" t="s">
        <v>202</v>
      </c>
      <c r="J190" s="68">
        <v>46066</v>
      </c>
      <c r="K190" s="136" t="s">
        <v>2</v>
      </c>
      <c r="L190" s="62" t="s">
        <v>846</v>
      </c>
      <c r="M190" s="128" t="s">
        <v>241</v>
      </c>
      <c r="N190" s="65" t="s">
        <v>196</v>
      </c>
      <c r="O190" s="65" t="s">
        <v>196</v>
      </c>
      <c r="P190" s="65" t="s">
        <v>196</v>
      </c>
      <c r="Q190" s="65" t="s">
        <v>196</v>
      </c>
      <c r="R190" s="137" t="s">
        <v>196</v>
      </c>
      <c r="S190" s="65" t="s">
        <v>196</v>
      </c>
      <c r="T190" s="65" t="s">
        <v>196</v>
      </c>
      <c r="U190" s="65" t="s">
        <v>196</v>
      </c>
      <c r="V190" s="65" t="s">
        <v>175</v>
      </c>
      <c r="W190" s="128" t="s">
        <v>598</v>
      </c>
      <c r="X190" s="65" t="s">
        <v>1047</v>
      </c>
      <c r="Y190" s="65"/>
      <c r="Z190" s="65"/>
      <c r="AA190" s="137" t="s">
        <v>188</v>
      </c>
      <c r="AB190" s="65" t="s">
        <v>282</v>
      </c>
      <c r="AC190" s="65"/>
      <c r="AD190" s="62">
        <v>1</v>
      </c>
      <c r="AE190" s="62">
        <v>1</v>
      </c>
      <c r="AF190" s="69">
        <v>0</v>
      </c>
      <c r="AG190" s="128" t="s">
        <v>196</v>
      </c>
      <c r="AH190" s="65" t="s">
        <v>196</v>
      </c>
      <c r="AI190" s="143"/>
    </row>
    <row r="191" spans="1:35" ht="45" customHeight="1" x14ac:dyDescent="0.2">
      <c r="A191" s="83">
        <v>189</v>
      </c>
      <c r="B191" s="66" t="s">
        <v>260</v>
      </c>
      <c r="C191" s="67" t="s">
        <v>106</v>
      </c>
      <c r="D191" s="68">
        <v>46072</v>
      </c>
      <c r="E191" s="65" t="s">
        <v>261</v>
      </c>
      <c r="F191" s="36" t="s">
        <v>571</v>
      </c>
      <c r="G191" s="83" t="s">
        <v>262</v>
      </c>
      <c r="H191" s="65" t="s">
        <v>4</v>
      </c>
      <c r="I191" s="65" t="s">
        <v>195</v>
      </c>
      <c r="J191" s="68">
        <v>46072</v>
      </c>
      <c r="K191" s="62" t="s">
        <v>2</v>
      </c>
      <c r="L191" s="65" t="s">
        <v>196</v>
      </c>
      <c r="M191" s="65" t="s">
        <v>241</v>
      </c>
      <c r="N191" s="65" t="s">
        <v>196</v>
      </c>
      <c r="O191" s="65" t="s">
        <v>196</v>
      </c>
      <c r="P191" s="65" t="s">
        <v>196</v>
      </c>
      <c r="Q191" s="65" t="s">
        <v>196</v>
      </c>
      <c r="R191" s="65" t="s">
        <v>196</v>
      </c>
      <c r="S191" s="65" t="s">
        <v>196</v>
      </c>
      <c r="T191" s="65" t="s">
        <v>196</v>
      </c>
      <c r="U191" s="65" t="s">
        <v>196</v>
      </c>
      <c r="V191" s="65" t="s">
        <v>175</v>
      </c>
      <c r="W191" s="65" t="s">
        <v>598</v>
      </c>
      <c r="X191" s="65" t="s">
        <v>1047</v>
      </c>
      <c r="Y191" s="65"/>
      <c r="Z191" s="65"/>
      <c r="AA191" s="65" t="s">
        <v>188</v>
      </c>
      <c r="AB191" s="65" t="s">
        <v>319</v>
      </c>
      <c r="AC191" s="65" t="s">
        <v>320</v>
      </c>
      <c r="AD191" s="62">
        <v>1</v>
      </c>
      <c r="AE191" s="62">
        <v>1</v>
      </c>
      <c r="AF191" s="69">
        <v>0</v>
      </c>
      <c r="AG191" s="65" t="s">
        <v>196</v>
      </c>
      <c r="AH191" s="65" t="s">
        <v>196</v>
      </c>
      <c r="AI191" s="144"/>
    </row>
    <row r="192" spans="1:35" ht="45" customHeight="1" x14ac:dyDescent="0.2">
      <c r="A192" s="83">
        <v>190</v>
      </c>
      <c r="B192" s="66" t="s">
        <v>277</v>
      </c>
      <c r="C192" s="67" t="s">
        <v>106</v>
      </c>
      <c r="D192" s="68">
        <v>46073</v>
      </c>
      <c r="E192" s="65" t="s">
        <v>280</v>
      </c>
      <c r="F192" s="36" t="s">
        <v>473</v>
      </c>
      <c r="G192" s="83" t="s">
        <v>281</v>
      </c>
      <c r="H192" s="65" t="s">
        <v>229</v>
      </c>
      <c r="I192" s="65" t="s">
        <v>202</v>
      </c>
      <c r="J192" s="68">
        <v>46073</v>
      </c>
      <c r="K192" s="62" t="s">
        <v>2</v>
      </c>
      <c r="L192" s="65" t="s">
        <v>196</v>
      </c>
      <c r="M192" s="65" t="s">
        <v>241</v>
      </c>
      <c r="N192" s="65" t="s">
        <v>196</v>
      </c>
      <c r="O192" s="65" t="s">
        <v>196</v>
      </c>
      <c r="P192" s="65" t="s">
        <v>196</v>
      </c>
      <c r="Q192" s="65" t="s">
        <v>196</v>
      </c>
      <c r="R192" s="65" t="s">
        <v>196</v>
      </c>
      <c r="S192" s="65" t="s">
        <v>196</v>
      </c>
      <c r="T192" s="65" t="s">
        <v>196</v>
      </c>
      <c r="U192" s="65" t="s">
        <v>196</v>
      </c>
      <c r="V192" s="65" t="s">
        <v>176</v>
      </c>
      <c r="W192" s="65" t="s">
        <v>598</v>
      </c>
      <c r="X192" s="65" t="s">
        <v>1047</v>
      </c>
      <c r="Y192" s="65"/>
      <c r="Z192" s="65"/>
      <c r="AA192" s="65" t="s">
        <v>188</v>
      </c>
      <c r="AB192" s="65" t="s">
        <v>474</v>
      </c>
      <c r="AC192" s="65" t="s">
        <v>368</v>
      </c>
      <c r="AD192" s="62">
        <v>1</v>
      </c>
      <c r="AE192" s="62">
        <v>1</v>
      </c>
      <c r="AF192" s="69">
        <v>0</v>
      </c>
      <c r="AG192" s="65" t="s">
        <v>196</v>
      </c>
      <c r="AH192" s="65" t="s">
        <v>196</v>
      </c>
      <c r="AI192" s="144"/>
    </row>
    <row r="193" spans="1:35" ht="45" customHeight="1" x14ac:dyDescent="0.2">
      <c r="A193" s="83">
        <v>191</v>
      </c>
      <c r="B193" s="66" t="s">
        <v>513</v>
      </c>
      <c r="C193" s="67" t="s">
        <v>108</v>
      </c>
      <c r="D193" s="68">
        <v>46118</v>
      </c>
      <c r="E193" s="65" t="s">
        <v>514</v>
      </c>
      <c r="F193" s="36" t="s">
        <v>548</v>
      </c>
      <c r="G193" s="83" t="s">
        <v>515</v>
      </c>
      <c r="H193" s="65" t="s">
        <v>142</v>
      </c>
      <c r="I193" s="65" t="s">
        <v>198</v>
      </c>
      <c r="J193" s="68">
        <v>46118</v>
      </c>
      <c r="K193" s="62" t="s">
        <v>2</v>
      </c>
      <c r="L193" s="65" t="s">
        <v>873</v>
      </c>
      <c r="M193" s="65" t="s">
        <v>241</v>
      </c>
      <c r="N193" s="65" t="s">
        <v>196</v>
      </c>
      <c r="O193" s="65" t="s">
        <v>196</v>
      </c>
      <c r="P193" s="65" t="s">
        <v>196</v>
      </c>
      <c r="Q193" s="65" t="s">
        <v>196</v>
      </c>
      <c r="R193" s="65" t="s">
        <v>196</v>
      </c>
      <c r="S193" s="65" t="s">
        <v>196</v>
      </c>
      <c r="T193" s="65" t="s">
        <v>196</v>
      </c>
      <c r="U193" s="65" t="s">
        <v>196</v>
      </c>
      <c r="V193" s="65" t="s">
        <v>176</v>
      </c>
      <c r="W193" s="65" t="s">
        <v>852</v>
      </c>
      <c r="X193" s="65" t="s">
        <v>1048</v>
      </c>
      <c r="Y193" s="65"/>
      <c r="Z193" s="65"/>
      <c r="AA193" s="65"/>
      <c r="AB193" s="65"/>
      <c r="AC193" s="65"/>
      <c r="AD193" s="62">
        <v>0</v>
      </c>
      <c r="AE193" s="62">
        <v>0</v>
      </c>
      <c r="AF193" s="69">
        <v>0</v>
      </c>
      <c r="AG193" s="65" t="s">
        <v>196</v>
      </c>
      <c r="AH193" s="65" t="s">
        <v>196</v>
      </c>
      <c r="AI193" s="144"/>
    </row>
    <row r="194" spans="1:35" ht="45" customHeight="1" x14ac:dyDescent="0.2">
      <c r="A194" s="83">
        <v>192</v>
      </c>
      <c r="B194" s="66" t="s">
        <v>638</v>
      </c>
      <c r="C194" s="67" t="s">
        <v>108</v>
      </c>
      <c r="D194" s="68">
        <v>46125</v>
      </c>
      <c r="E194" s="65" t="s">
        <v>649</v>
      </c>
      <c r="F194" s="36" t="s">
        <v>650</v>
      </c>
      <c r="G194" s="83" t="s">
        <v>651</v>
      </c>
      <c r="H194" s="65" t="s">
        <v>4</v>
      </c>
      <c r="I194" s="65" t="s">
        <v>202</v>
      </c>
      <c r="J194" s="68">
        <v>46125</v>
      </c>
      <c r="K194" s="62" t="s">
        <v>2</v>
      </c>
      <c r="L194" s="65" t="s">
        <v>196</v>
      </c>
      <c r="M194" s="65" t="s">
        <v>241</v>
      </c>
      <c r="N194" s="65" t="s">
        <v>196</v>
      </c>
      <c r="O194" s="65" t="s">
        <v>196</v>
      </c>
      <c r="P194" s="65" t="s">
        <v>196</v>
      </c>
      <c r="Q194" s="65" t="s">
        <v>196</v>
      </c>
      <c r="R194" s="65" t="s">
        <v>196</v>
      </c>
      <c r="S194" s="65" t="s">
        <v>196</v>
      </c>
      <c r="T194" s="65" t="s">
        <v>196</v>
      </c>
      <c r="U194" s="65" t="s">
        <v>196</v>
      </c>
      <c r="V194" s="65" t="s">
        <v>175</v>
      </c>
      <c r="W194" s="65" t="s">
        <v>598</v>
      </c>
      <c r="X194" s="65" t="s">
        <v>1047</v>
      </c>
      <c r="Y194" s="65"/>
      <c r="Z194" s="65"/>
      <c r="AA194" s="65" t="s">
        <v>189</v>
      </c>
      <c r="AB194" s="65"/>
      <c r="AC194" s="70" t="s">
        <v>652</v>
      </c>
      <c r="AD194" s="62">
        <v>1</v>
      </c>
      <c r="AE194" s="62">
        <v>1</v>
      </c>
      <c r="AF194" s="69">
        <v>0</v>
      </c>
      <c r="AG194" s="65" t="s">
        <v>196</v>
      </c>
      <c r="AH194" s="65" t="s">
        <v>196</v>
      </c>
      <c r="AI194" s="144"/>
    </row>
    <row r="195" spans="1:35" ht="45" customHeight="1" x14ac:dyDescent="0.2">
      <c r="A195" s="83">
        <v>193</v>
      </c>
      <c r="B195" s="66" t="s">
        <v>659</v>
      </c>
      <c r="C195" s="67" t="s">
        <v>108</v>
      </c>
      <c r="D195" s="68">
        <v>46134</v>
      </c>
      <c r="E195" s="65" t="s">
        <v>666</v>
      </c>
      <c r="F195" s="36" t="s">
        <v>548</v>
      </c>
      <c r="G195" s="83" t="s">
        <v>786</v>
      </c>
      <c r="H195" s="65" t="s">
        <v>142</v>
      </c>
      <c r="I195" s="65" t="s">
        <v>198</v>
      </c>
      <c r="J195" s="68">
        <v>46134</v>
      </c>
      <c r="K195" s="62" t="s">
        <v>2</v>
      </c>
      <c r="L195" s="65" t="s">
        <v>943</v>
      </c>
      <c r="M195" s="65" t="s">
        <v>241</v>
      </c>
      <c r="N195" s="65" t="s">
        <v>196</v>
      </c>
      <c r="O195" s="65" t="s">
        <v>196</v>
      </c>
      <c r="P195" s="65" t="s">
        <v>196</v>
      </c>
      <c r="Q195" s="65" t="s">
        <v>196</v>
      </c>
      <c r="R195" s="65" t="s">
        <v>196</v>
      </c>
      <c r="S195" s="65" t="s">
        <v>196</v>
      </c>
      <c r="T195" s="65" t="s">
        <v>196</v>
      </c>
      <c r="U195" s="65" t="s">
        <v>196</v>
      </c>
      <c r="V195" s="65" t="s">
        <v>176</v>
      </c>
      <c r="W195" s="65" t="s">
        <v>852</v>
      </c>
      <c r="X195" s="65" t="s">
        <v>1048</v>
      </c>
      <c r="Y195" s="65"/>
      <c r="Z195" s="65"/>
      <c r="AA195" s="65"/>
      <c r="AB195" s="83"/>
      <c r="AC195" s="83"/>
      <c r="AD195" s="62">
        <v>0</v>
      </c>
      <c r="AE195" s="62">
        <f>AF195/4</f>
        <v>0</v>
      </c>
      <c r="AF195" s="84">
        <v>0</v>
      </c>
      <c r="AG195" s="65" t="s">
        <v>196</v>
      </c>
      <c r="AH195" s="65" t="s">
        <v>196</v>
      </c>
      <c r="AI195" s="144"/>
    </row>
    <row r="196" spans="1:35" ht="45" customHeight="1" x14ac:dyDescent="0.2">
      <c r="A196" s="83">
        <v>194</v>
      </c>
      <c r="B196" s="66" t="s">
        <v>662</v>
      </c>
      <c r="C196" s="67" t="s">
        <v>108</v>
      </c>
      <c r="D196" s="68">
        <v>46134</v>
      </c>
      <c r="E196" s="65" t="s">
        <v>211</v>
      </c>
      <c r="F196" s="80" t="s">
        <v>416</v>
      </c>
      <c r="G196" s="83" t="s">
        <v>669</v>
      </c>
      <c r="H196" s="65" t="s">
        <v>140</v>
      </c>
      <c r="I196" s="65" t="s">
        <v>198</v>
      </c>
      <c r="J196" s="68">
        <v>46134</v>
      </c>
      <c r="K196" s="62" t="s">
        <v>2</v>
      </c>
      <c r="L196" s="65" t="s">
        <v>1059</v>
      </c>
      <c r="M196" s="83" t="s">
        <v>241</v>
      </c>
      <c r="N196" s="65" t="s">
        <v>196</v>
      </c>
      <c r="O196" s="65" t="s">
        <v>196</v>
      </c>
      <c r="P196" s="65" t="s">
        <v>196</v>
      </c>
      <c r="Q196" s="65" t="s">
        <v>196</v>
      </c>
      <c r="R196" s="65" t="s">
        <v>196</v>
      </c>
      <c r="S196" s="65" t="s">
        <v>196</v>
      </c>
      <c r="T196" s="65" t="s">
        <v>196</v>
      </c>
      <c r="U196" s="65" t="s">
        <v>196</v>
      </c>
      <c r="V196" s="65" t="s">
        <v>175</v>
      </c>
      <c r="W196" s="65" t="s">
        <v>598</v>
      </c>
      <c r="X196" s="65" t="s">
        <v>1047</v>
      </c>
      <c r="Y196" s="65"/>
      <c r="Z196" s="65"/>
      <c r="AA196" s="65"/>
      <c r="AB196" s="83"/>
      <c r="AC196" s="83"/>
      <c r="AD196" s="62">
        <v>1</v>
      </c>
      <c r="AE196" s="62">
        <v>1</v>
      </c>
      <c r="AF196" s="69">
        <v>0</v>
      </c>
      <c r="AG196" s="65" t="s">
        <v>196</v>
      </c>
      <c r="AH196" s="65" t="s">
        <v>196</v>
      </c>
      <c r="AI196" s="144"/>
    </row>
    <row r="197" spans="1:35" ht="45" customHeight="1" x14ac:dyDescent="0.2">
      <c r="A197" s="83">
        <v>195</v>
      </c>
      <c r="B197" s="66" t="s">
        <v>685</v>
      </c>
      <c r="C197" s="67" t="s">
        <v>108</v>
      </c>
      <c r="D197" s="68">
        <v>46140</v>
      </c>
      <c r="E197" s="65" t="s">
        <v>686</v>
      </c>
      <c r="F197" s="36" t="s">
        <v>548</v>
      </c>
      <c r="G197" s="83" t="s">
        <v>687</v>
      </c>
      <c r="H197" s="65" t="s">
        <v>142</v>
      </c>
      <c r="I197" s="65" t="s">
        <v>198</v>
      </c>
      <c r="J197" s="68">
        <v>46140</v>
      </c>
      <c r="K197" s="62" t="s">
        <v>2</v>
      </c>
      <c r="L197" s="65" t="s">
        <v>915</v>
      </c>
      <c r="M197" s="65" t="s">
        <v>241</v>
      </c>
      <c r="N197" s="65" t="s">
        <v>196</v>
      </c>
      <c r="O197" s="65" t="s">
        <v>196</v>
      </c>
      <c r="P197" s="65" t="s">
        <v>196</v>
      </c>
      <c r="Q197" s="65" t="s">
        <v>196</v>
      </c>
      <c r="R197" s="65" t="s">
        <v>196</v>
      </c>
      <c r="S197" s="65" t="s">
        <v>196</v>
      </c>
      <c r="T197" s="65" t="s">
        <v>196</v>
      </c>
      <c r="U197" s="65" t="s">
        <v>196</v>
      </c>
      <c r="V197" s="65" t="s">
        <v>176</v>
      </c>
      <c r="W197" s="65" t="s">
        <v>852</v>
      </c>
      <c r="X197" s="65" t="s">
        <v>1048</v>
      </c>
      <c r="Y197" s="65"/>
      <c r="Z197" s="65"/>
      <c r="AA197" s="65"/>
      <c r="AB197" s="83"/>
      <c r="AC197" s="83"/>
      <c r="AD197" s="62">
        <v>0</v>
      </c>
      <c r="AE197" s="62">
        <f t="shared" ref="AE197:AE207" si="4">AF197/4</f>
        <v>0</v>
      </c>
      <c r="AF197" s="69">
        <v>0</v>
      </c>
      <c r="AG197" s="65" t="s">
        <v>196</v>
      </c>
      <c r="AH197" s="65" t="s">
        <v>196</v>
      </c>
      <c r="AI197" s="144"/>
    </row>
    <row r="198" spans="1:35" ht="45" customHeight="1" x14ac:dyDescent="0.2">
      <c r="A198" s="83">
        <v>196</v>
      </c>
      <c r="B198" s="66" t="s">
        <v>688</v>
      </c>
      <c r="C198" s="67" t="s">
        <v>108</v>
      </c>
      <c r="D198" s="68">
        <v>46141</v>
      </c>
      <c r="E198" s="65" t="s">
        <v>689</v>
      </c>
      <c r="F198" s="36" t="s">
        <v>548</v>
      </c>
      <c r="G198" s="83" t="s">
        <v>690</v>
      </c>
      <c r="H198" s="65" t="s">
        <v>142</v>
      </c>
      <c r="I198" s="65" t="s">
        <v>198</v>
      </c>
      <c r="J198" s="68">
        <v>46141</v>
      </c>
      <c r="K198" s="62" t="s">
        <v>2</v>
      </c>
      <c r="L198" s="65" t="s">
        <v>910</v>
      </c>
      <c r="M198" s="65" t="s">
        <v>241</v>
      </c>
      <c r="N198" s="65" t="s">
        <v>196</v>
      </c>
      <c r="O198" s="65" t="s">
        <v>196</v>
      </c>
      <c r="P198" s="65" t="s">
        <v>196</v>
      </c>
      <c r="Q198" s="65" t="s">
        <v>196</v>
      </c>
      <c r="R198" s="65" t="s">
        <v>196</v>
      </c>
      <c r="S198" s="65" t="s">
        <v>196</v>
      </c>
      <c r="T198" s="65" t="s">
        <v>196</v>
      </c>
      <c r="U198" s="65" t="s">
        <v>196</v>
      </c>
      <c r="V198" s="65" t="s">
        <v>176</v>
      </c>
      <c r="W198" s="65" t="s">
        <v>852</v>
      </c>
      <c r="X198" s="65" t="s">
        <v>1048</v>
      </c>
      <c r="Y198" s="65"/>
      <c r="Z198" s="65"/>
      <c r="AA198" s="65"/>
      <c r="AB198" s="83"/>
      <c r="AC198" s="83"/>
      <c r="AD198" s="62">
        <v>0</v>
      </c>
      <c r="AE198" s="62">
        <f t="shared" si="4"/>
        <v>0</v>
      </c>
      <c r="AF198" s="69">
        <v>0</v>
      </c>
      <c r="AG198" s="65" t="s">
        <v>196</v>
      </c>
      <c r="AH198" s="65" t="s">
        <v>196</v>
      </c>
      <c r="AI198" s="144"/>
    </row>
    <row r="199" spans="1:35" ht="45" customHeight="1" x14ac:dyDescent="0.2">
      <c r="A199" s="83">
        <v>197</v>
      </c>
      <c r="B199" s="66" t="s">
        <v>691</v>
      </c>
      <c r="C199" s="67" t="s">
        <v>108</v>
      </c>
      <c r="D199" s="68">
        <v>46141</v>
      </c>
      <c r="E199" s="65" t="s">
        <v>692</v>
      </c>
      <c r="F199" s="36" t="s">
        <v>1060</v>
      </c>
      <c r="G199" s="83" t="s">
        <v>693</v>
      </c>
      <c r="H199" s="65" t="s">
        <v>140</v>
      </c>
      <c r="I199" s="65" t="s">
        <v>198</v>
      </c>
      <c r="J199" s="68">
        <v>46141</v>
      </c>
      <c r="K199" s="62" t="s">
        <v>2</v>
      </c>
      <c r="L199" s="65" t="s">
        <v>1061</v>
      </c>
      <c r="M199" s="83" t="s">
        <v>241</v>
      </c>
      <c r="N199" s="65" t="s">
        <v>196</v>
      </c>
      <c r="O199" s="65" t="s">
        <v>196</v>
      </c>
      <c r="P199" s="65" t="s">
        <v>196</v>
      </c>
      <c r="Q199" s="65" t="s">
        <v>196</v>
      </c>
      <c r="R199" s="65" t="s">
        <v>196</v>
      </c>
      <c r="S199" s="65" t="s">
        <v>196</v>
      </c>
      <c r="T199" s="65" t="s">
        <v>196</v>
      </c>
      <c r="U199" s="65" t="s">
        <v>196</v>
      </c>
      <c r="V199" s="65" t="s">
        <v>176</v>
      </c>
      <c r="W199" s="65" t="s">
        <v>598</v>
      </c>
      <c r="X199" s="65" t="s">
        <v>1047</v>
      </c>
      <c r="Y199" s="65"/>
      <c r="Z199" s="65"/>
      <c r="AA199" s="65"/>
      <c r="AB199" s="83"/>
      <c r="AC199" s="83"/>
      <c r="AD199" s="62">
        <v>0</v>
      </c>
      <c r="AE199" s="62">
        <f t="shared" si="4"/>
        <v>0</v>
      </c>
      <c r="AF199" s="69">
        <v>0</v>
      </c>
      <c r="AG199" s="65" t="s">
        <v>196</v>
      </c>
      <c r="AH199" s="65" t="s">
        <v>196</v>
      </c>
      <c r="AI199" s="144"/>
    </row>
    <row r="200" spans="1:35" ht="45" customHeight="1" x14ac:dyDescent="0.2">
      <c r="A200" s="83">
        <v>198</v>
      </c>
      <c r="B200" s="66" t="s">
        <v>694</v>
      </c>
      <c r="C200" s="67" t="s">
        <v>108</v>
      </c>
      <c r="D200" s="68">
        <v>46141</v>
      </c>
      <c r="E200" s="65" t="s">
        <v>695</v>
      </c>
      <c r="F200" s="36" t="s">
        <v>469</v>
      </c>
      <c r="G200" s="83" t="s">
        <v>1008</v>
      </c>
      <c r="H200" s="65" t="s">
        <v>140</v>
      </c>
      <c r="I200" s="65" t="s">
        <v>198</v>
      </c>
      <c r="J200" s="68">
        <v>46141</v>
      </c>
      <c r="K200" s="62" t="s">
        <v>2</v>
      </c>
      <c r="L200" s="65" t="s">
        <v>196</v>
      </c>
      <c r="M200" s="83" t="s">
        <v>241</v>
      </c>
      <c r="N200" s="65" t="s">
        <v>196</v>
      </c>
      <c r="O200" s="65" t="s">
        <v>196</v>
      </c>
      <c r="P200" s="65" t="s">
        <v>196</v>
      </c>
      <c r="Q200" s="65" t="s">
        <v>196</v>
      </c>
      <c r="R200" s="65" t="s">
        <v>196</v>
      </c>
      <c r="S200" s="65" t="s">
        <v>196</v>
      </c>
      <c r="T200" s="65" t="s">
        <v>196</v>
      </c>
      <c r="U200" s="65" t="s">
        <v>196</v>
      </c>
      <c r="V200" s="65" t="s">
        <v>176</v>
      </c>
      <c r="W200" s="65" t="s">
        <v>598</v>
      </c>
      <c r="X200" s="65" t="s">
        <v>1047</v>
      </c>
      <c r="Y200" s="65"/>
      <c r="Z200" s="65"/>
      <c r="AA200" s="65"/>
      <c r="AB200" s="83"/>
      <c r="AC200" s="83"/>
      <c r="AD200" s="62">
        <v>0</v>
      </c>
      <c r="AE200" s="62">
        <f t="shared" si="4"/>
        <v>0</v>
      </c>
      <c r="AF200" s="69">
        <v>0</v>
      </c>
      <c r="AG200" s="65" t="s">
        <v>196</v>
      </c>
      <c r="AH200" s="65" t="s">
        <v>196</v>
      </c>
      <c r="AI200" s="144"/>
    </row>
    <row r="201" spans="1:35" ht="45" customHeight="1" x14ac:dyDescent="0.2">
      <c r="A201" s="83">
        <v>199</v>
      </c>
      <c r="B201" s="66" t="s">
        <v>696</v>
      </c>
      <c r="C201" s="67" t="s">
        <v>108</v>
      </c>
      <c r="D201" s="68">
        <v>46141</v>
      </c>
      <c r="E201" s="65" t="s">
        <v>697</v>
      </c>
      <c r="F201" s="88" t="s">
        <v>1062</v>
      </c>
      <c r="G201" s="83" t="s">
        <v>698</v>
      </c>
      <c r="H201" s="65" t="s">
        <v>142</v>
      </c>
      <c r="I201" s="65" t="s">
        <v>198</v>
      </c>
      <c r="J201" s="68">
        <v>46141</v>
      </c>
      <c r="K201" s="62" t="s">
        <v>2</v>
      </c>
      <c r="L201" s="83" t="s">
        <v>196</v>
      </c>
      <c r="M201" s="65" t="s">
        <v>241</v>
      </c>
      <c r="N201" s="65" t="s">
        <v>196</v>
      </c>
      <c r="O201" s="65" t="s">
        <v>196</v>
      </c>
      <c r="P201" s="65" t="s">
        <v>196</v>
      </c>
      <c r="Q201" s="65" t="s">
        <v>196</v>
      </c>
      <c r="R201" s="65" t="s">
        <v>196</v>
      </c>
      <c r="S201" s="65" t="s">
        <v>196</v>
      </c>
      <c r="T201" s="65" t="s">
        <v>196</v>
      </c>
      <c r="U201" s="65" t="s">
        <v>196</v>
      </c>
      <c r="V201" s="65" t="s">
        <v>176</v>
      </c>
      <c r="W201" s="65" t="s">
        <v>852</v>
      </c>
      <c r="X201" s="65" t="s">
        <v>1048</v>
      </c>
      <c r="Y201" s="65"/>
      <c r="Z201" s="65"/>
      <c r="AA201" s="65"/>
      <c r="AB201" s="83"/>
      <c r="AC201" s="83"/>
      <c r="AD201" s="62">
        <v>0</v>
      </c>
      <c r="AE201" s="62">
        <f t="shared" si="4"/>
        <v>0</v>
      </c>
      <c r="AF201" s="69">
        <v>0</v>
      </c>
      <c r="AG201" s="65" t="s">
        <v>196</v>
      </c>
      <c r="AH201" s="65" t="s">
        <v>196</v>
      </c>
      <c r="AI201" s="144"/>
    </row>
    <row r="202" spans="1:35" ht="45" customHeight="1" x14ac:dyDescent="0.2">
      <c r="A202" s="83">
        <v>200</v>
      </c>
      <c r="B202" s="66" t="s">
        <v>702</v>
      </c>
      <c r="C202" s="67" t="s">
        <v>108</v>
      </c>
      <c r="D202" s="68">
        <v>46141</v>
      </c>
      <c r="E202" s="65" t="s">
        <v>703</v>
      </c>
      <c r="F202" s="36" t="s">
        <v>548</v>
      </c>
      <c r="G202" s="83" t="s">
        <v>704</v>
      </c>
      <c r="H202" s="65" t="s">
        <v>142</v>
      </c>
      <c r="I202" s="65" t="s">
        <v>198</v>
      </c>
      <c r="J202" s="68">
        <v>46141</v>
      </c>
      <c r="K202" s="62" t="s">
        <v>2</v>
      </c>
      <c r="L202" s="65" t="s">
        <v>882</v>
      </c>
      <c r="M202" s="65" t="s">
        <v>241</v>
      </c>
      <c r="N202" s="65" t="s">
        <v>196</v>
      </c>
      <c r="O202" s="65" t="s">
        <v>196</v>
      </c>
      <c r="P202" s="65" t="s">
        <v>196</v>
      </c>
      <c r="Q202" s="65" t="s">
        <v>196</v>
      </c>
      <c r="R202" s="65" t="s">
        <v>196</v>
      </c>
      <c r="S202" s="65" t="s">
        <v>196</v>
      </c>
      <c r="T202" s="65" t="s">
        <v>196</v>
      </c>
      <c r="U202" s="65" t="s">
        <v>196</v>
      </c>
      <c r="V202" s="65" t="s">
        <v>176</v>
      </c>
      <c r="W202" s="65" t="s">
        <v>852</v>
      </c>
      <c r="X202" s="65" t="s">
        <v>1048</v>
      </c>
      <c r="Y202" s="65"/>
      <c r="Z202" s="65"/>
      <c r="AA202" s="65"/>
      <c r="AB202" s="83"/>
      <c r="AC202" s="83"/>
      <c r="AD202" s="62">
        <v>0</v>
      </c>
      <c r="AE202" s="62">
        <f t="shared" si="4"/>
        <v>0</v>
      </c>
      <c r="AF202" s="69">
        <v>0</v>
      </c>
      <c r="AG202" s="65" t="s">
        <v>196</v>
      </c>
      <c r="AH202" s="65" t="s">
        <v>196</v>
      </c>
      <c r="AI202" s="144"/>
    </row>
    <row r="203" spans="1:35" ht="45" customHeight="1" x14ac:dyDescent="0.2">
      <c r="A203" s="83">
        <v>201</v>
      </c>
      <c r="B203" s="66" t="s">
        <v>707</v>
      </c>
      <c r="C203" s="67" t="s">
        <v>109</v>
      </c>
      <c r="D203" s="68">
        <v>46147</v>
      </c>
      <c r="E203" s="65" t="s">
        <v>708</v>
      </c>
      <c r="F203" s="88" t="s">
        <v>928</v>
      </c>
      <c r="G203" s="83" t="s">
        <v>709</v>
      </c>
      <c r="H203" s="65" t="s">
        <v>143</v>
      </c>
      <c r="I203" s="65" t="s">
        <v>198</v>
      </c>
      <c r="J203" s="68">
        <v>46147</v>
      </c>
      <c r="K203" s="62" t="s">
        <v>2</v>
      </c>
      <c r="L203" s="65" t="s">
        <v>196</v>
      </c>
      <c r="M203" s="83" t="s">
        <v>241</v>
      </c>
      <c r="N203" s="65" t="s">
        <v>196</v>
      </c>
      <c r="O203" s="65" t="s">
        <v>196</v>
      </c>
      <c r="P203" s="65" t="s">
        <v>196</v>
      </c>
      <c r="Q203" s="65" t="s">
        <v>196</v>
      </c>
      <c r="R203" s="65" t="s">
        <v>196</v>
      </c>
      <c r="S203" s="65" t="s">
        <v>196</v>
      </c>
      <c r="T203" s="65" t="s">
        <v>196</v>
      </c>
      <c r="U203" s="65" t="s">
        <v>196</v>
      </c>
      <c r="V203" s="65" t="s">
        <v>176</v>
      </c>
      <c r="W203" s="65" t="s">
        <v>598</v>
      </c>
      <c r="X203" s="65" t="s">
        <v>1047</v>
      </c>
      <c r="Y203" s="65"/>
      <c r="Z203" s="65"/>
      <c r="AA203" s="65"/>
      <c r="AB203" s="83"/>
      <c r="AC203" s="83"/>
      <c r="AD203" s="62">
        <v>0</v>
      </c>
      <c r="AE203" s="62">
        <f t="shared" si="4"/>
        <v>0</v>
      </c>
      <c r="AF203" s="69">
        <v>0</v>
      </c>
      <c r="AG203" s="65" t="s">
        <v>196</v>
      </c>
      <c r="AH203" s="65" t="s">
        <v>196</v>
      </c>
      <c r="AI203" s="144"/>
    </row>
    <row r="204" spans="1:35" ht="45" customHeight="1" x14ac:dyDescent="0.2">
      <c r="A204" s="83">
        <v>202</v>
      </c>
      <c r="B204" s="66" t="s">
        <v>733</v>
      </c>
      <c r="C204" s="67" t="s">
        <v>109</v>
      </c>
      <c r="D204" s="68">
        <v>46148</v>
      </c>
      <c r="E204" s="65" t="s">
        <v>734</v>
      </c>
      <c r="F204" s="36" t="s">
        <v>548</v>
      </c>
      <c r="G204" s="83" t="s">
        <v>735</v>
      </c>
      <c r="H204" s="65" t="s">
        <v>142</v>
      </c>
      <c r="I204" s="65" t="s">
        <v>198</v>
      </c>
      <c r="J204" s="68">
        <v>46148</v>
      </c>
      <c r="K204" s="62" t="s">
        <v>2</v>
      </c>
      <c r="L204" s="65" t="s">
        <v>930</v>
      </c>
      <c r="M204" s="65" t="s">
        <v>241</v>
      </c>
      <c r="N204" s="65" t="s">
        <v>196</v>
      </c>
      <c r="O204" s="65" t="s">
        <v>196</v>
      </c>
      <c r="P204" s="65" t="s">
        <v>196</v>
      </c>
      <c r="Q204" s="65" t="s">
        <v>196</v>
      </c>
      <c r="R204" s="65" t="s">
        <v>196</v>
      </c>
      <c r="S204" s="65" t="s">
        <v>196</v>
      </c>
      <c r="T204" s="65" t="s">
        <v>196</v>
      </c>
      <c r="U204" s="65" t="s">
        <v>196</v>
      </c>
      <c r="V204" s="65" t="s">
        <v>176</v>
      </c>
      <c r="W204" s="65" t="s">
        <v>852</v>
      </c>
      <c r="X204" s="83" t="s">
        <v>1048</v>
      </c>
      <c r="Y204" s="65"/>
      <c r="Z204" s="65"/>
      <c r="AA204" s="65"/>
      <c r="AB204" s="83"/>
      <c r="AC204" s="83"/>
      <c r="AD204" s="62">
        <v>0</v>
      </c>
      <c r="AE204" s="62">
        <f t="shared" si="4"/>
        <v>0</v>
      </c>
      <c r="AF204" s="69">
        <v>0</v>
      </c>
      <c r="AG204" s="65" t="s">
        <v>196</v>
      </c>
      <c r="AH204" s="65" t="s">
        <v>196</v>
      </c>
      <c r="AI204" s="144"/>
    </row>
    <row r="205" spans="1:35" ht="45" customHeight="1" x14ac:dyDescent="0.2">
      <c r="A205" s="83">
        <v>203</v>
      </c>
      <c r="B205" s="66" t="s">
        <v>736</v>
      </c>
      <c r="C205" s="67" t="s">
        <v>109</v>
      </c>
      <c r="D205" s="68">
        <v>46148</v>
      </c>
      <c r="E205" s="65" t="s">
        <v>737</v>
      </c>
      <c r="F205" s="36" t="s">
        <v>548</v>
      </c>
      <c r="G205" s="83" t="s">
        <v>738</v>
      </c>
      <c r="H205" s="65" t="s">
        <v>142</v>
      </c>
      <c r="I205" s="65" t="s">
        <v>198</v>
      </c>
      <c r="J205" s="68">
        <v>46148</v>
      </c>
      <c r="K205" s="62" t="s">
        <v>2</v>
      </c>
      <c r="L205" s="65" t="s">
        <v>920</v>
      </c>
      <c r="M205" s="65" t="s">
        <v>241</v>
      </c>
      <c r="N205" s="65" t="s">
        <v>196</v>
      </c>
      <c r="O205" s="65" t="s">
        <v>196</v>
      </c>
      <c r="P205" s="65" t="s">
        <v>196</v>
      </c>
      <c r="Q205" s="65" t="s">
        <v>196</v>
      </c>
      <c r="R205" s="65" t="s">
        <v>196</v>
      </c>
      <c r="S205" s="65" t="s">
        <v>196</v>
      </c>
      <c r="T205" s="65" t="s">
        <v>196</v>
      </c>
      <c r="U205" s="65" t="s">
        <v>196</v>
      </c>
      <c r="V205" s="65" t="s">
        <v>176</v>
      </c>
      <c r="W205" s="65" t="s">
        <v>852</v>
      </c>
      <c r="X205" s="83" t="s">
        <v>1048</v>
      </c>
      <c r="Y205" s="65"/>
      <c r="Z205" s="65"/>
      <c r="AA205" s="65"/>
      <c r="AB205" s="83"/>
      <c r="AC205" s="83"/>
      <c r="AD205" s="62">
        <v>0</v>
      </c>
      <c r="AE205" s="62">
        <f t="shared" si="4"/>
        <v>0</v>
      </c>
      <c r="AF205" s="69">
        <v>0</v>
      </c>
      <c r="AG205" s="65" t="s">
        <v>196</v>
      </c>
      <c r="AH205" s="65" t="s">
        <v>196</v>
      </c>
      <c r="AI205" s="144"/>
    </row>
    <row r="206" spans="1:35" ht="45" customHeight="1" x14ac:dyDescent="0.2">
      <c r="A206" s="83">
        <v>204</v>
      </c>
      <c r="B206" s="66" t="s">
        <v>739</v>
      </c>
      <c r="C206" s="67" t="s">
        <v>109</v>
      </c>
      <c r="D206" s="68">
        <v>46148</v>
      </c>
      <c r="E206" s="65" t="s">
        <v>740</v>
      </c>
      <c r="F206" s="36" t="s">
        <v>548</v>
      </c>
      <c r="G206" s="83" t="s">
        <v>741</v>
      </c>
      <c r="H206" s="65" t="s">
        <v>142</v>
      </c>
      <c r="I206" s="65" t="s">
        <v>198</v>
      </c>
      <c r="J206" s="68">
        <v>46148</v>
      </c>
      <c r="K206" s="62" t="s">
        <v>2</v>
      </c>
      <c r="L206" s="65" t="s">
        <v>920</v>
      </c>
      <c r="M206" s="65" t="s">
        <v>241</v>
      </c>
      <c r="N206" s="65" t="s">
        <v>196</v>
      </c>
      <c r="O206" s="65" t="s">
        <v>196</v>
      </c>
      <c r="P206" s="65" t="s">
        <v>196</v>
      </c>
      <c r="Q206" s="65" t="s">
        <v>196</v>
      </c>
      <c r="R206" s="65" t="s">
        <v>196</v>
      </c>
      <c r="S206" s="65" t="s">
        <v>196</v>
      </c>
      <c r="T206" s="65" t="s">
        <v>196</v>
      </c>
      <c r="U206" s="65" t="s">
        <v>196</v>
      </c>
      <c r="V206" s="65" t="s">
        <v>176</v>
      </c>
      <c r="W206" s="65" t="s">
        <v>852</v>
      </c>
      <c r="X206" s="83" t="s">
        <v>1048</v>
      </c>
      <c r="Y206" s="65"/>
      <c r="Z206" s="65"/>
      <c r="AA206" s="65"/>
      <c r="AB206" s="83"/>
      <c r="AC206" s="83"/>
      <c r="AD206" s="62">
        <v>0</v>
      </c>
      <c r="AE206" s="62">
        <f t="shared" si="4"/>
        <v>0</v>
      </c>
      <c r="AF206" s="69">
        <v>0</v>
      </c>
      <c r="AG206" s="65" t="s">
        <v>196</v>
      </c>
      <c r="AH206" s="65" t="s">
        <v>196</v>
      </c>
      <c r="AI206" s="144"/>
    </row>
    <row r="207" spans="1:35" ht="45" customHeight="1" x14ac:dyDescent="0.2">
      <c r="A207" s="83">
        <v>205</v>
      </c>
      <c r="B207" s="66" t="s">
        <v>745</v>
      </c>
      <c r="C207" s="67" t="s">
        <v>109</v>
      </c>
      <c r="D207" s="68">
        <v>46148</v>
      </c>
      <c r="E207" s="65" t="s">
        <v>746</v>
      </c>
      <c r="F207" s="36" t="s">
        <v>1057</v>
      </c>
      <c r="G207" s="83" t="s">
        <v>1127</v>
      </c>
      <c r="H207" s="65" t="s">
        <v>4</v>
      </c>
      <c r="I207" s="65" t="s">
        <v>195</v>
      </c>
      <c r="J207" s="68">
        <v>46148</v>
      </c>
      <c r="K207" s="62" t="s">
        <v>2</v>
      </c>
      <c r="L207" s="65" t="s">
        <v>196</v>
      </c>
      <c r="M207" s="65" t="s">
        <v>241</v>
      </c>
      <c r="N207" s="65" t="s">
        <v>196</v>
      </c>
      <c r="O207" s="65" t="s">
        <v>196</v>
      </c>
      <c r="P207" s="65" t="s">
        <v>196</v>
      </c>
      <c r="Q207" s="65" t="s">
        <v>196</v>
      </c>
      <c r="R207" s="65" t="s">
        <v>196</v>
      </c>
      <c r="S207" s="65" t="s">
        <v>196</v>
      </c>
      <c r="T207" s="65" t="s">
        <v>196</v>
      </c>
      <c r="U207" s="65" t="s">
        <v>196</v>
      </c>
      <c r="V207" s="65" t="s">
        <v>176</v>
      </c>
      <c r="W207" s="65" t="s">
        <v>598</v>
      </c>
      <c r="X207" s="65" t="s">
        <v>1047</v>
      </c>
      <c r="Y207" s="65"/>
      <c r="Z207" s="65"/>
      <c r="AA207" s="65"/>
      <c r="AB207" s="83"/>
      <c r="AC207" s="83"/>
      <c r="AD207" s="62">
        <v>0</v>
      </c>
      <c r="AE207" s="62">
        <f t="shared" si="4"/>
        <v>0</v>
      </c>
      <c r="AF207" s="69">
        <v>0</v>
      </c>
      <c r="AG207" s="65" t="s">
        <v>196</v>
      </c>
      <c r="AH207" s="65" t="s">
        <v>196</v>
      </c>
      <c r="AI207" s="144"/>
    </row>
    <row r="208" spans="1:35" ht="78.75" x14ac:dyDescent="0.2">
      <c r="A208" s="83">
        <v>206</v>
      </c>
      <c r="B208" s="66" t="s">
        <v>747</v>
      </c>
      <c r="C208" s="67" t="s">
        <v>109</v>
      </c>
      <c r="D208" s="68">
        <v>46148</v>
      </c>
      <c r="E208" s="65" t="s">
        <v>748</v>
      </c>
      <c r="F208" s="80" t="s">
        <v>416</v>
      </c>
      <c r="G208" s="83" t="s">
        <v>749</v>
      </c>
      <c r="H208" s="65" t="s">
        <v>140</v>
      </c>
      <c r="I208" s="65" t="s">
        <v>198</v>
      </c>
      <c r="J208" s="68">
        <v>46148</v>
      </c>
      <c r="K208" s="62" t="s">
        <v>2</v>
      </c>
      <c r="L208" s="83" t="s">
        <v>1059</v>
      </c>
      <c r="M208" s="83" t="s">
        <v>241</v>
      </c>
      <c r="N208" s="65" t="s">
        <v>196</v>
      </c>
      <c r="O208" s="65" t="s">
        <v>196</v>
      </c>
      <c r="P208" s="65" t="s">
        <v>196</v>
      </c>
      <c r="Q208" s="65" t="s">
        <v>196</v>
      </c>
      <c r="R208" s="65" t="s">
        <v>196</v>
      </c>
      <c r="S208" s="65" t="s">
        <v>196</v>
      </c>
      <c r="T208" s="65" t="s">
        <v>196</v>
      </c>
      <c r="U208" s="65" t="s">
        <v>196</v>
      </c>
      <c r="V208" s="65" t="s">
        <v>175</v>
      </c>
      <c r="W208" s="65" t="s">
        <v>598</v>
      </c>
      <c r="X208" s="65" t="s">
        <v>1047</v>
      </c>
      <c r="Y208" s="65"/>
      <c r="Z208" s="65"/>
      <c r="AA208" s="65"/>
      <c r="AB208" s="83"/>
      <c r="AC208" s="83"/>
      <c r="AD208" s="62">
        <v>1</v>
      </c>
      <c r="AE208" s="62">
        <v>1</v>
      </c>
      <c r="AF208" s="69">
        <v>0</v>
      </c>
      <c r="AG208" s="65" t="s">
        <v>196</v>
      </c>
      <c r="AH208" s="65" t="s">
        <v>196</v>
      </c>
      <c r="AI208" s="144"/>
    </row>
    <row r="209" spans="1:35" ht="66" customHeight="1" x14ac:dyDescent="0.2">
      <c r="A209" s="83">
        <v>207</v>
      </c>
      <c r="B209" s="66" t="s">
        <v>750</v>
      </c>
      <c r="C209" s="67" t="s">
        <v>109</v>
      </c>
      <c r="D209" s="68">
        <v>46148</v>
      </c>
      <c r="E209" s="65" t="s">
        <v>751</v>
      </c>
      <c r="F209" s="80" t="s">
        <v>416</v>
      </c>
      <c r="G209" s="83" t="s">
        <v>752</v>
      </c>
      <c r="H209" s="65" t="s">
        <v>140</v>
      </c>
      <c r="I209" s="65" t="s">
        <v>198</v>
      </c>
      <c r="J209" s="68">
        <v>46148</v>
      </c>
      <c r="K209" s="62" t="s">
        <v>2</v>
      </c>
      <c r="L209" s="83" t="s">
        <v>1059</v>
      </c>
      <c r="M209" s="83" t="s">
        <v>241</v>
      </c>
      <c r="N209" s="65" t="s">
        <v>196</v>
      </c>
      <c r="O209" s="65" t="s">
        <v>196</v>
      </c>
      <c r="P209" s="65" t="s">
        <v>196</v>
      </c>
      <c r="Q209" s="65" t="s">
        <v>196</v>
      </c>
      <c r="R209" s="65" t="s">
        <v>196</v>
      </c>
      <c r="S209" s="65" t="s">
        <v>196</v>
      </c>
      <c r="T209" s="65" t="s">
        <v>196</v>
      </c>
      <c r="U209" s="65" t="s">
        <v>196</v>
      </c>
      <c r="V209" s="65" t="s">
        <v>175</v>
      </c>
      <c r="W209" s="65" t="s">
        <v>598</v>
      </c>
      <c r="X209" s="65" t="s">
        <v>1047</v>
      </c>
      <c r="Y209" s="65"/>
      <c r="Z209" s="65"/>
      <c r="AA209" s="65"/>
      <c r="AB209" s="83"/>
      <c r="AC209" s="83"/>
      <c r="AD209" s="62">
        <v>1</v>
      </c>
      <c r="AE209" s="62">
        <v>1</v>
      </c>
      <c r="AF209" s="69">
        <v>0</v>
      </c>
      <c r="AG209" s="65" t="s">
        <v>196</v>
      </c>
      <c r="AH209" s="65" t="s">
        <v>196</v>
      </c>
      <c r="AI209" s="144"/>
    </row>
    <row r="210" spans="1:35" ht="78.75" customHeight="1" x14ac:dyDescent="0.2">
      <c r="A210" s="83">
        <v>208</v>
      </c>
      <c r="B210" s="66" t="s">
        <v>753</v>
      </c>
      <c r="C210" s="67" t="s">
        <v>109</v>
      </c>
      <c r="D210" s="68">
        <v>46148</v>
      </c>
      <c r="E210" s="65" t="s">
        <v>754</v>
      </c>
      <c r="F210" s="80" t="s">
        <v>416</v>
      </c>
      <c r="G210" s="83" t="s">
        <v>755</v>
      </c>
      <c r="H210" s="65" t="s">
        <v>140</v>
      </c>
      <c r="I210" s="65" t="s">
        <v>198</v>
      </c>
      <c r="J210" s="68">
        <v>46148</v>
      </c>
      <c r="K210" s="62" t="s">
        <v>2</v>
      </c>
      <c r="L210" s="83" t="s">
        <v>1066</v>
      </c>
      <c r="M210" s="83" t="s">
        <v>241</v>
      </c>
      <c r="N210" s="65" t="s">
        <v>196</v>
      </c>
      <c r="O210" s="65" t="s">
        <v>196</v>
      </c>
      <c r="P210" s="65" t="s">
        <v>196</v>
      </c>
      <c r="Q210" s="65" t="s">
        <v>196</v>
      </c>
      <c r="R210" s="65" t="s">
        <v>196</v>
      </c>
      <c r="S210" s="65" t="s">
        <v>196</v>
      </c>
      <c r="T210" s="65" t="s">
        <v>196</v>
      </c>
      <c r="U210" s="65" t="s">
        <v>196</v>
      </c>
      <c r="V210" s="65" t="s">
        <v>175</v>
      </c>
      <c r="W210" s="65" t="s">
        <v>598</v>
      </c>
      <c r="X210" s="65" t="s">
        <v>1047</v>
      </c>
      <c r="Y210" s="65"/>
      <c r="Z210" s="65"/>
      <c r="AA210" s="65"/>
      <c r="AB210" s="83"/>
      <c r="AC210" s="83"/>
      <c r="AD210" s="62">
        <v>1</v>
      </c>
      <c r="AE210" s="62">
        <v>1</v>
      </c>
      <c r="AF210" s="69">
        <v>0</v>
      </c>
      <c r="AG210" s="65" t="s">
        <v>196</v>
      </c>
      <c r="AH210" s="65" t="s">
        <v>196</v>
      </c>
      <c r="AI210" s="144"/>
    </row>
    <row r="211" spans="1:35" ht="135" customHeight="1" x14ac:dyDescent="0.2">
      <c r="A211" s="83">
        <v>209</v>
      </c>
      <c r="B211" s="66" t="s">
        <v>756</v>
      </c>
      <c r="C211" s="67" t="s">
        <v>109</v>
      </c>
      <c r="D211" s="68">
        <v>46148</v>
      </c>
      <c r="E211" s="65" t="s">
        <v>757</v>
      </c>
      <c r="F211" s="80" t="s">
        <v>1067</v>
      </c>
      <c r="G211" s="83" t="s">
        <v>758</v>
      </c>
      <c r="H211" s="65" t="s">
        <v>140</v>
      </c>
      <c r="I211" s="65" t="s">
        <v>198</v>
      </c>
      <c r="J211" s="68">
        <v>46148</v>
      </c>
      <c r="K211" s="62" t="s">
        <v>2</v>
      </c>
      <c r="L211" s="83" t="s">
        <v>196</v>
      </c>
      <c r="M211" s="83" t="s">
        <v>241</v>
      </c>
      <c r="N211" s="65" t="s">
        <v>196</v>
      </c>
      <c r="O211" s="65" t="s">
        <v>196</v>
      </c>
      <c r="P211" s="65" t="s">
        <v>196</v>
      </c>
      <c r="Q211" s="65" t="s">
        <v>196</v>
      </c>
      <c r="R211" s="65" t="s">
        <v>196</v>
      </c>
      <c r="S211" s="65" t="s">
        <v>196</v>
      </c>
      <c r="T211" s="65" t="s">
        <v>196</v>
      </c>
      <c r="U211" s="65" t="s">
        <v>196</v>
      </c>
      <c r="V211" s="65" t="s">
        <v>175</v>
      </c>
      <c r="W211" s="65" t="s">
        <v>598</v>
      </c>
      <c r="X211" s="65" t="s">
        <v>1047</v>
      </c>
      <c r="Y211" s="65"/>
      <c r="Z211" s="65"/>
      <c r="AA211" s="65"/>
      <c r="AB211" s="83"/>
      <c r="AC211" s="83"/>
      <c r="AD211" s="62">
        <v>1</v>
      </c>
      <c r="AE211" s="62">
        <v>1</v>
      </c>
      <c r="AF211" s="69">
        <v>0</v>
      </c>
      <c r="AG211" s="65" t="s">
        <v>196</v>
      </c>
      <c r="AH211" s="65" t="s">
        <v>196</v>
      </c>
      <c r="AI211" s="144"/>
    </row>
    <row r="212" spans="1:35" ht="66" customHeight="1" x14ac:dyDescent="0.2">
      <c r="A212" s="83">
        <v>210</v>
      </c>
      <c r="B212" s="66" t="s">
        <v>1396</v>
      </c>
      <c r="C212" s="67" t="s">
        <v>111</v>
      </c>
      <c r="D212" s="68">
        <v>46210</v>
      </c>
      <c r="E212" s="65" t="s">
        <v>1397</v>
      </c>
      <c r="F212" s="36" t="s">
        <v>1319</v>
      </c>
      <c r="G212" s="83" t="s">
        <v>1398</v>
      </c>
      <c r="H212" s="65" t="s">
        <v>168</v>
      </c>
      <c r="I212" s="65" t="s">
        <v>202</v>
      </c>
      <c r="J212" s="68">
        <v>46210</v>
      </c>
      <c r="K212" s="62" t="s">
        <v>2</v>
      </c>
      <c r="L212" s="65"/>
      <c r="M212" s="65" t="s">
        <v>241</v>
      </c>
      <c r="N212" s="65" t="s">
        <v>196</v>
      </c>
      <c r="O212" s="65" t="s">
        <v>196</v>
      </c>
      <c r="P212" s="65" t="s">
        <v>196</v>
      </c>
      <c r="Q212" s="65" t="s">
        <v>196</v>
      </c>
      <c r="R212" s="65" t="s">
        <v>196</v>
      </c>
      <c r="S212" s="65" t="s">
        <v>196</v>
      </c>
      <c r="T212" s="65" t="s">
        <v>196</v>
      </c>
      <c r="U212" s="65" t="s">
        <v>196</v>
      </c>
      <c r="V212" s="65" t="s">
        <v>175</v>
      </c>
      <c r="W212" s="65" t="s">
        <v>598</v>
      </c>
      <c r="X212" s="65" t="s">
        <v>1047</v>
      </c>
      <c r="Y212" s="65"/>
      <c r="Z212" s="65"/>
      <c r="AA212" s="65"/>
      <c r="AB212" s="65"/>
      <c r="AC212" s="65"/>
      <c r="AD212" s="89">
        <v>1</v>
      </c>
      <c r="AE212" s="89">
        <v>1</v>
      </c>
      <c r="AF212" s="84">
        <v>0</v>
      </c>
      <c r="AG212" s="65" t="s">
        <v>196</v>
      </c>
      <c r="AH212" s="65" t="s">
        <v>196</v>
      </c>
      <c r="AI212" s="144"/>
    </row>
    <row r="213" spans="1:35" ht="78" customHeight="1" x14ac:dyDescent="0.2">
      <c r="A213" s="83">
        <v>211</v>
      </c>
      <c r="B213" s="66" t="s">
        <v>1649</v>
      </c>
      <c r="C213" s="67" t="s">
        <v>112</v>
      </c>
      <c r="D213" s="68">
        <v>46248</v>
      </c>
      <c r="E213" s="65" t="s">
        <v>1655</v>
      </c>
      <c r="F213" s="36" t="s">
        <v>1825</v>
      </c>
      <c r="G213" s="83" t="s">
        <v>1656</v>
      </c>
      <c r="H213" s="65" t="s">
        <v>148</v>
      </c>
      <c r="I213" s="65" t="s">
        <v>195</v>
      </c>
      <c r="J213" s="68">
        <v>46248</v>
      </c>
      <c r="K213" s="62" t="s">
        <v>2</v>
      </c>
      <c r="L213" s="65" t="s">
        <v>1826</v>
      </c>
      <c r="M213" s="65" t="s">
        <v>241</v>
      </c>
      <c r="N213" s="65" t="s">
        <v>196</v>
      </c>
      <c r="O213" s="65" t="s">
        <v>196</v>
      </c>
      <c r="P213" s="65" t="s">
        <v>196</v>
      </c>
      <c r="Q213" s="65" t="s">
        <v>196</v>
      </c>
      <c r="R213" s="65"/>
      <c r="S213" s="65"/>
      <c r="T213" s="65"/>
      <c r="U213" s="65"/>
      <c r="V213" s="65"/>
      <c r="W213" s="65"/>
      <c r="X213" s="65" t="s">
        <v>1047</v>
      </c>
      <c r="Y213" s="65"/>
      <c r="Z213" s="65"/>
      <c r="AA213" s="65"/>
      <c r="AB213" s="65"/>
      <c r="AC213" s="65"/>
      <c r="AD213" s="89"/>
      <c r="AE213" s="89"/>
      <c r="AF213" s="84"/>
      <c r="AG213" s="65" t="s">
        <v>196</v>
      </c>
      <c r="AH213" s="65" t="s">
        <v>196</v>
      </c>
      <c r="AI213" s="144"/>
    </row>
    <row r="214" spans="1:35" ht="66" customHeight="1" x14ac:dyDescent="0.2">
      <c r="A214" s="83">
        <v>212</v>
      </c>
      <c r="B214" s="66" t="s">
        <v>244</v>
      </c>
      <c r="C214" s="67" t="s">
        <v>106</v>
      </c>
      <c r="D214" s="68">
        <v>46064</v>
      </c>
      <c r="E214" s="65" t="s">
        <v>245</v>
      </c>
      <c r="F214" s="36" t="s">
        <v>317</v>
      </c>
      <c r="G214" s="83" t="s">
        <v>246</v>
      </c>
      <c r="H214" s="65" t="s">
        <v>4</v>
      </c>
      <c r="I214" s="65" t="s">
        <v>195</v>
      </c>
      <c r="J214" s="68">
        <v>46064</v>
      </c>
      <c r="K214" s="62" t="s">
        <v>2</v>
      </c>
      <c r="L214" s="65" t="s">
        <v>841</v>
      </c>
      <c r="M214" s="65" t="s">
        <v>842</v>
      </c>
      <c r="N214" s="65" t="s">
        <v>196</v>
      </c>
      <c r="O214" s="65" t="s">
        <v>196</v>
      </c>
      <c r="P214" s="65" t="s">
        <v>196</v>
      </c>
      <c r="Q214" s="65" t="s">
        <v>196</v>
      </c>
      <c r="R214" s="65" t="s">
        <v>196</v>
      </c>
      <c r="S214" s="65" t="s">
        <v>196</v>
      </c>
      <c r="T214" s="65" t="s">
        <v>196</v>
      </c>
      <c r="U214" s="65" t="s">
        <v>196</v>
      </c>
      <c r="V214" s="65" t="s">
        <v>175</v>
      </c>
      <c r="W214" s="65" t="s">
        <v>598</v>
      </c>
      <c r="X214" s="65" t="s">
        <v>1047</v>
      </c>
      <c r="Y214" s="65" t="s">
        <v>55</v>
      </c>
      <c r="Z214" s="65" t="s">
        <v>196</v>
      </c>
      <c r="AA214" s="65" t="s">
        <v>188</v>
      </c>
      <c r="AB214" s="65" t="s">
        <v>282</v>
      </c>
      <c r="AC214" s="65"/>
      <c r="AD214" s="62">
        <v>1</v>
      </c>
      <c r="AE214" s="62">
        <v>1</v>
      </c>
      <c r="AF214" s="69">
        <v>0</v>
      </c>
      <c r="AG214" s="65" t="s">
        <v>196</v>
      </c>
      <c r="AH214" s="65" t="s">
        <v>196</v>
      </c>
      <c r="AI214" s="144"/>
    </row>
    <row r="215" spans="1:35" ht="66" customHeight="1" x14ac:dyDescent="0.2">
      <c r="A215" s="83">
        <v>213</v>
      </c>
      <c r="B215" s="66" t="s">
        <v>271</v>
      </c>
      <c r="C215" s="67" t="s">
        <v>106</v>
      </c>
      <c r="D215" s="68">
        <v>46072</v>
      </c>
      <c r="E215" s="65" t="s">
        <v>267</v>
      </c>
      <c r="F215" s="36" t="s">
        <v>574</v>
      </c>
      <c r="G215" s="83" t="s">
        <v>272</v>
      </c>
      <c r="H215" s="65" t="s">
        <v>142</v>
      </c>
      <c r="I215" s="65" t="s">
        <v>198</v>
      </c>
      <c r="J215" s="68">
        <v>46072</v>
      </c>
      <c r="K215" s="62" t="s">
        <v>2</v>
      </c>
      <c r="L215" s="65" t="s">
        <v>196</v>
      </c>
      <c r="M215" s="65" t="s">
        <v>269</v>
      </c>
      <c r="N215" s="65" t="s">
        <v>3</v>
      </c>
      <c r="O215" s="65" t="s">
        <v>196</v>
      </c>
      <c r="P215" s="65" t="s">
        <v>196</v>
      </c>
      <c r="Q215" s="65" t="s">
        <v>196</v>
      </c>
      <c r="R215" s="65" t="s">
        <v>196</v>
      </c>
      <c r="S215" s="65" t="s">
        <v>196</v>
      </c>
      <c r="T215" s="65" t="s">
        <v>196</v>
      </c>
      <c r="U215" s="65" t="s">
        <v>196</v>
      </c>
      <c r="V215" s="65" t="s">
        <v>176</v>
      </c>
      <c r="W215" s="65" t="s">
        <v>852</v>
      </c>
      <c r="X215" s="65" t="s">
        <v>1048</v>
      </c>
      <c r="Y215" s="65"/>
      <c r="Z215" s="65"/>
      <c r="AA215" s="65"/>
      <c r="AB215" s="65"/>
      <c r="AC215" s="65"/>
      <c r="AD215" s="62">
        <v>0</v>
      </c>
      <c r="AE215" s="62">
        <f>AF215/4</f>
        <v>0</v>
      </c>
      <c r="AF215" s="69">
        <v>0</v>
      </c>
      <c r="AG215" s="65" t="s">
        <v>196</v>
      </c>
      <c r="AH215" s="65" t="s">
        <v>196</v>
      </c>
      <c r="AI215" s="144"/>
    </row>
    <row r="216" spans="1:35" ht="66" customHeight="1" x14ac:dyDescent="0.2">
      <c r="A216" s="83">
        <v>214</v>
      </c>
      <c r="B216" s="66" t="s">
        <v>273</v>
      </c>
      <c r="C216" s="67" t="s">
        <v>106</v>
      </c>
      <c r="D216" s="68">
        <v>46072</v>
      </c>
      <c r="E216" s="65" t="s">
        <v>274</v>
      </c>
      <c r="F216" s="36" t="s">
        <v>574</v>
      </c>
      <c r="G216" s="83" t="s">
        <v>275</v>
      </c>
      <c r="H216" s="65" t="s">
        <v>142</v>
      </c>
      <c r="I216" s="65" t="s">
        <v>198</v>
      </c>
      <c r="J216" s="68">
        <v>46072</v>
      </c>
      <c r="K216" s="62" t="s">
        <v>2</v>
      </c>
      <c r="L216" s="65" t="s">
        <v>196</v>
      </c>
      <c r="M216" s="65" t="s">
        <v>269</v>
      </c>
      <c r="N216" s="65" t="s">
        <v>3</v>
      </c>
      <c r="O216" s="65" t="s">
        <v>196</v>
      </c>
      <c r="P216" s="65" t="s">
        <v>196</v>
      </c>
      <c r="Q216" s="65" t="s">
        <v>196</v>
      </c>
      <c r="R216" s="65" t="s">
        <v>196</v>
      </c>
      <c r="S216" s="65" t="s">
        <v>196</v>
      </c>
      <c r="T216" s="65" t="s">
        <v>196</v>
      </c>
      <c r="U216" s="65" t="s">
        <v>196</v>
      </c>
      <c r="V216" s="65" t="s">
        <v>176</v>
      </c>
      <c r="W216" s="65" t="s">
        <v>852</v>
      </c>
      <c r="X216" s="65" t="s">
        <v>1048</v>
      </c>
      <c r="Y216" s="65"/>
      <c r="Z216" s="65"/>
      <c r="AA216" s="65"/>
      <c r="AB216" s="65"/>
      <c r="AC216" s="65"/>
      <c r="AD216" s="62">
        <v>0</v>
      </c>
      <c r="AE216" s="62">
        <f>AF216/4</f>
        <v>0</v>
      </c>
      <c r="AF216" s="69">
        <v>0</v>
      </c>
      <c r="AG216" s="65" t="s">
        <v>196</v>
      </c>
      <c r="AH216" s="65" t="s">
        <v>196</v>
      </c>
      <c r="AI216" s="144"/>
    </row>
    <row r="217" spans="1:35" ht="66" customHeight="1" x14ac:dyDescent="0.2">
      <c r="A217" s="83">
        <v>215</v>
      </c>
      <c r="B217" s="66" t="s">
        <v>256</v>
      </c>
      <c r="C217" s="67" t="s">
        <v>106</v>
      </c>
      <c r="D217" s="68">
        <v>46072</v>
      </c>
      <c r="E217" s="65" t="s">
        <v>267</v>
      </c>
      <c r="F217" s="72" t="s">
        <v>575</v>
      </c>
      <c r="G217" s="83" t="s">
        <v>270</v>
      </c>
      <c r="H217" s="65" t="s">
        <v>142</v>
      </c>
      <c r="I217" s="65" t="s">
        <v>198</v>
      </c>
      <c r="J217" s="68">
        <v>46072</v>
      </c>
      <c r="K217" s="62" t="s">
        <v>2</v>
      </c>
      <c r="L217" s="65" t="s">
        <v>893</v>
      </c>
      <c r="M217" s="65" t="s">
        <v>892</v>
      </c>
      <c r="N217" s="65" t="s">
        <v>3</v>
      </c>
      <c r="O217" s="65" t="s">
        <v>196</v>
      </c>
      <c r="P217" s="65" t="s">
        <v>196</v>
      </c>
      <c r="Q217" s="65" t="s">
        <v>196</v>
      </c>
      <c r="R217" s="65" t="s">
        <v>196</v>
      </c>
      <c r="S217" s="65" t="s">
        <v>196</v>
      </c>
      <c r="T217" s="65" t="s">
        <v>196</v>
      </c>
      <c r="U217" s="65" t="s">
        <v>196</v>
      </c>
      <c r="V217" s="65" t="s">
        <v>176</v>
      </c>
      <c r="W217" s="65" t="s">
        <v>852</v>
      </c>
      <c r="X217" s="65" t="s">
        <v>1048</v>
      </c>
      <c r="Y217" s="65"/>
      <c r="Z217" s="65"/>
      <c r="AA217" s="65"/>
      <c r="AB217" s="65"/>
      <c r="AC217" s="65"/>
      <c r="AD217" s="62">
        <v>0</v>
      </c>
      <c r="AE217" s="62">
        <f>AF217/4</f>
        <v>0</v>
      </c>
      <c r="AF217" s="69">
        <v>0</v>
      </c>
      <c r="AG217" s="65" t="s">
        <v>196</v>
      </c>
      <c r="AH217" s="65" t="s">
        <v>196</v>
      </c>
      <c r="AI217" s="144"/>
    </row>
    <row r="218" spans="1:35" ht="66" customHeight="1" x14ac:dyDescent="0.2">
      <c r="A218" s="83">
        <v>216</v>
      </c>
      <c r="B218" s="66" t="s">
        <v>266</v>
      </c>
      <c r="C218" s="67" t="s">
        <v>106</v>
      </c>
      <c r="D218" s="68">
        <v>46072</v>
      </c>
      <c r="E218" s="65" t="s">
        <v>267</v>
      </c>
      <c r="F218" s="36" t="s">
        <v>574</v>
      </c>
      <c r="G218" s="83" t="s">
        <v>268</v>
      </c>
      <c r="H218" s="65" t="s">
        <v>142</v>
      </c>
      <c r="I218" s="65" t="s">
        <v>198</v>
      </c>
      <c r="J218" s="68">
        <v>46072</v>
      </c>
      <c r="K218" s="62" t="s">
        <v>2</v>
      </c>
      <c r="L218" s="65" t="s">
        <v>196</v>
      </c>
      <c r="M218" s="65" t="s">
        <v>302</v>
      </c>
      <c r="N218" s="65" t="s">
        <v>3</v>
      </c>
      <c r="O218" s="65" t="s">
        <v>196</v>
      </c>
      <c r="P218" s="65" t="s">
        <v>196</v>
      </c>
      <c r="Q218" s="65" t="s">
        <v>196</v>
      </c>
      <c r="R218" s="65" t="s">
        <v>196</v>
      </c>
      <c r="S218" s="65" t="s">
        <v>196</v>
      </c>
      <c r="T218" s="65" t="s">
        <v>196</v>
      </c>
      <c r="U218" s="65" t="s">
        <v>196</v>
      </c>
      <c r="V218" s="65" t="s">
        <v>176</v>
      </c>
      <c r="W218" s="65" t="s">
        <v>852</v>
      </c>
      <c r="X218" s="65" t="s">
        <v>1048</v>
      </c>
      <c r="Y218" s="65"/>
      <c r="Z218" s="65"/>
      <c r="AA218" s="65"/>
      <c r="AB218" s="65"/>
      <c r="AC218" s="65"/>
      <c r="AD218" s="62">
        <v>0</v>
      </c>
      <c r="AE218" s="62">
        <f>AF218/4</f>
        <v>0</v>
      </c>
      <c r="AF218" s="69">
        <v>0</v>
      </c>
      <c r="AG218" s="65" t="s">
        <v>196</v>
      </c>
      <c r="AH218" s="65" t="s">
        <v>196</v>
      </c>
      <c r="AI218" s="144"/>
    </row>
    <row r="219" spans="1:35" ht="66" customHeight="1" x14ac:dyDescent="0.2">
      <c r="A219" s="83">
        <v>217</v>
      </c>
      <c r="B219" s="66" t="s">
        <v>252</v>
      </c>
      <c r="C219" s="67" t="s">
        <v>106</v>
      </c>
      <c r="D219" s="68">
        <v>46066</v>
      </c>
      <c r="E219" s="65" t="s">
        <v>211</v>
      </c>
      <c r="F219" s="36" t="s">
        <v>569</v>
      </c>
      <c r="G219" s="83" t="s">
        <v>253</v>
      </c>
      <c r="H219" s="65" t="s">
        <v>4</v>
      </c>
      <c r="I219" s="65" t="s">
        <v>195</v>
      </c>
      <c r="J219" s="68">
        <v>46066</v>
      </c>
      <c r="K219" s="62" t="s">
        <v>2</v>
      </c>
      <c r="L219" s="65" t="s">
        <v>196</v>
      </c>
      <c r="M219" s="65" t="s">
        <v>870</v>
      </c>
      <c r="N219" s="65" t="s">
        <v>196</v>
      </c>
      <c r="O219" s="65" t="s">
        <v>196</v>
      </c>
      <c r="P219" s="65" t="s">
        <v>196</v>
      </c>
      <c r="Q219" s="65" t="s">
        <v>196</v>
      </c>
      <c r="R219" s="65" t="s">
        <v>196</v>
      </c>
      <c r="S219" s="65" t="s">
        <v>196</v>
      </c>
      <c r="T219" s="65" t="s">
        <v>196</v>
      </c>
      <c r="U219" s="65" t="s">
        <v>196</v>
      </c>
      <c r="V219" s="65" t="s">
        <v>173</v>
      </c>
      <c r="W219" s="65" t="s">
        <v>852</v>
      </c>
      <c r="X219" s="65" t="s">
        <v>1048</v>
      </c>
      <c r="Y219" s="65"/>
      <c r="Z219" s="65"/>
      <c r="AA219" s="65" t="s">
        <v>189</v>
      </c>
      <c r="AB219" s="65"/>
      <c r="AC219" s="65" t="s">
        <v>570</v>
      </c>
      <c r="AD219" s="62">
        <v>1</v>
      </c>
      <c r="AE219" s="62">
        <v>1</v>
      </c>
      <c r="AF219" s="69">
        <v>0</v>
      </c>
      <c r="AG219" s="65" t="s">
        <v>196</v>
      </c>
      <c r="AH219" s="65" t="s">
        <v>196</v>
      </c>
      <c r="AI219" s="144"/>
    </row>
    <row r="220" spans="1:35" ht="66" customHeight="1" x14ac:dyDescent="0.2">
      <c r="A220" s="83">
        <v>218</v>
      </c>
      <c r="B220" s="66" t="s">
        <v>206</v>
      </c>
      <c r="C220" s="67" t="s">
        <v>105</v>
      </c>
      <c r="D220" s="68">
        <v>46051</v>
      </c>
      <c r="E220" s="65" t="s">
        <v>208</v>
      </c>
      <c r="F220" s="36" t="s">
        <v>550</v>
      </c>
      <c r="G220" s="83" t="s">
        <v>209</v>
      </c>
      <c r="H220" s="65" t="s">
        <v>168</v>
      </c>
      <c r="I220" s="65" t="s">
        <v>195</v>
      </c>
      <c r="J220" s="68">
        <v>46051</v>
      </c>
      <c r="K220" s="62" t="s">
        <v>2</v>
      </c>
      <c r="L220" s="65" t="s">
        <v>196</v>
      </c>
      <c r="M220" s="65" t="s">
        <v>551</v>
      </c>
      <c r="N220" s="65" t="s">
        <v>196</v>
      </c>
      <c r="O220" s="65" t="s">
        <v>196</v>
      </c>
      <c r="P220" s="65" t="s">
        <v>196</v>
      </c>
      <c r="Q220" s="65" t="s">
        <v>196</v>
      </c>
      <c r="R220" s="65" t="s">
        <v>196</v>
      </c>
      <c r="S220" s="65" t="s">
        <v>196</v>
      </c>
      <c r="T220" s="65" t="s">
        <v>196</v>
      </c>
      <c r="U220" s="65" t="s">
        <v>196</v>
      </c>
      <c r="V220" s="65" t="s">
        <v>175</v>
      </c>
      <c r="W220" s="65" t="s">
        <v>598</v>
      </c>
      <c r="X220" s="65" t="s">
        <v>1047</v>
      </c>
      <c r="Y220" s="65"/>
      <c r="Z220" s="65"/>
      <c r="AA220" s="65" t="s">
        <v>189</v>
      </c>
      <c r="AB220" s="65" t="s">
        <v>552</v>
      </c>
      <c r="AC220" s="65"/>
      <c r="AD220" s="62">
        <v>1</v>
      </c>
      <c r="AE220" s="62">
        <v>1</v>
      </c>
      <c r="AF220" s="69">
        <v>0</v>
      </c>
      <c r="AG220" s="65" t="s">
        <v>196</v>
      </c>
      <c r="AH220" s="65" t="s">
        <v>196</v>
      </c>
      <c r="AI220" s="144"/>
    </row>
    <row r="221" spans="1:35" ht="66.75" customHeight="1" x14ac:dyDescent="0.2">
      <c r="A221" s="83">
        <v>219</v>
      </c>
      <c r="B221" s="66" t="s">
        <v>210</v>
      </c>
      <c r="C221" s="67" t="s">
        <v>105</v>
      </c>
      <c r="D221" s="68">
        <v>46052</v>
      </c>
      <c r="E221" s="65" t="s">
        <v>211</v>
      </c>
      <c r="F221" s="36" t="s">
        <v>548</v>
      </c>
      <c r="G221" s="83" t="s">
        <v>297</v>
      </c>
      <c r="H221" s="65" t="s">
        <v>142</v>
      </c>
      <c r="I221" s="65" t="s">
        <v>202</v>
      </c>
      <c r="J221" s="68">
        <v>46052</v>
      </c>
      <c r="K221" s="62" t="s">
        <v>2</v>
      </c>
      <c r="L221" s="65" t="s">
        <v>196</v>
      </c>
      <c r="M221" s="65" t="s">
        <v>554</v>
      </c>
      <c r="N221" s="65" t="s">
        <v>3</v>
      </c>
      <c r="O221" s="65" t="s">
        <v>196</v>
      </c>
      <c r="P221" s="65" t="s">
        <v>196</v>
      </c>
      <c r="Q221" s="65" t="s">
        <v>196</v>
      </c>
      <c r="R221" s="65" t="s">
        <v>196</v>
      </c>
      <c r="S221" s="65" t="s">
        <v>196</v>
      </c>
      <c r="T221" s="65" t="s">
        <v>196</v>
      </c>
      <c r="U221" s="65" t="s">
        <v>196</v>
      </c>
      <c r="V221" s="65" t="s">
        <v>173</v>
      </c>
      <c r="W221" s="65" t="s">
        <v>598</v>
      </c>
      <c r="X221" s="98" t="s">
        <v>1039</v>
      </c>
      <c r="Y221" s="98" t="s">
        <v>90</v>
      </c>
      <c r="Z221" s="65" t="s">
        <v>212</v>
      </c>
      <c r="AA221" s="65" t="s">
        <v>189</v>
      </c>
      <c r="AB221" s="65">
        <v>7711800300</v>
      </c>
      <c r="AC221" s="65" t="s">
        <v>553</v>
      </c>
      <c r="AD221" s="62">
        <v>1</v>
      </c>
      <c r="AE221" s="62">
        <f>AF221/4</f>
        <v>1</v>
      </c>
      <c r="AF221" s="69">
        <v>4</v>
      </c>
      <c r="AG221" s="62" t="s">
        <v>132</v>
      </c>
      <c r="AH221" s="65" t="s">
        <v>822</v>
      </c>
      <c r="AI221" s="144"/>
    </row>
    <row r="222" spans="1:35" ht="66.75" customHeight="1" x14ac:dyDescent="0.2">
      <c r="A222" s="83">
        <v>220</v>
      </c>
      <c r="B222" s="66" t="s">
        <v>237</v>
      </c>
      <c r="C222" s="67" t="s">
        <v>106</v>
      </c>
      <c r="D222" s="68">
        <v>46062</v>
      </c>
      <c r="E222" s="65" t="s">
        <v>238</v>
      </c>
      <c r="F222" s="36" t="s">
        <v>475</v>
      </c>
      <c r="G222" s="83" t="s">
        <v>239</v>
      </c>
      <c r="H222" s="65" t="s">
        <v>4</v>
      </c>
      <c r="I222" s="65" t="s">
        <v>202</v>
      </c>
      <c r="J222" s="68">
        <v>46062</v>
      </c>
      <c r="K222" s="62" t="s">
        <v>2</v>
      </c>
      <c r="L222" s="65" t="s">
        <v>196</v>
      </c>
      <c r="M222" s="65" t="s">
        <v>301</v>
      </c>
      <c r="N222" s="65" t="s">
        <v>2</v>
      </c>
      <c r="O222" s="65" t="s">
        <v>839</v>
      </c>
      <c r="P222" s="65" t="s">
        <v>2</v>
      </c>
      <c r="Q222" s="65" t="s">
        <v>238</v>
      </c>
      <c r="R222" s="65" t="s">
        <v>196</v>
      </c>
      <c r="S222" s="65" t="s">
        <v>196</v>
      </c>
      <c r="T222" s="65" t="s">
        <v>196</v>
      </c>
      <c r="U222" s="65" t="s">
        <v>196</v>
      </c>
      <c r="V222" s="65" t="s">
        <v>176</v>
      </c>
      <c r="W222" s="65" t="s">
        <v>598</v>
      </c>
      <c r="X222" s="65" t="s">
        <v>1047</v>
      </c>
      <c r="Y222" s="65"/>
      <c r="Z222" s="65" t="s">
        <v>196</v>
      </c>
      <c r="AA222" s="65" t="s">
        <v>188</v>
      </c>
      <c r="AB222" s="65" t="s">
        <v>476</v>
      </c>
      <c r="AC222" s="65" t="s">
        <v>477</v>
      </c>
      <c r="AD222" s="62">
        <v>1</v>
      </c>
      <c r="AE222" s="62">
        <v>1</v>
      </c>
      <c r="AF222" s="69">
        <v>0</v>
      </c>
      <c r="AG222" s="62"/>
      <c r="AH222" s="65"/>
      <c r="AI222" s="144"/>
    </row>
    <row r="223" spans="1:35" ht="66.75" customHeight="1" x14ac:dyDescent="0.2">
      <c r="A223" s="83">
        <v>221</v>
      </c>
      <c r="B223" s="66" t="s">
        <v>222</v>
      </c>
      <c r="C223" s="67" t="s">
        <v>106</v>
      </c>
      <c r="D223" s="68">
        <v>46057</v>
      </c>
      <c r="E223" s="65" t="s">
        <v>223</v>
      </c>
      <c r="F223" s="36" t="s">
        <v>465</v>
      </c>
      <c r="G223" s="83" t="s">
        <v>224</v>
      </c>
      <c r="H223" s="65" t="s">
        <v>140</v>
      </c>
      <c r="I223" s="65" t="s">
        <v>198</v>
      </c>
      <c r="J223" s="68">
        <v>46057</v>
      </c>
      <c r="K223" s="62" t="s">
        <v>2</v>
      </c>
      <c r="L223" s="65" t="s">
        <v>826</v>
      </c>
      <c r="M223" s="82" t="s">
        <v>827</v>
      </c>
      <c r="N223" s="65" t="s">
        <v>196</v>
      </c>
      <c r="O223" s="65" t="s">
        <v>196</v>
      </c>
      <c r="P223" s="65" t="s">
        <v>196</v>
      </c>
      <c r="Q223" s="65" t="s">
        <v>196</v>
      </c>
      <c r="R223" s="65" t="s">
        <v>2</v>
      </c>
      <c r="S223" s="65" t="s">
        <v>828</v>
      </c>
      <c r="T223" s="65" t="s">
        <v>3</v>
      </c>
      <c r="U223" s="65" t="s">
        <v>196</v>
      </c>
      <c r="V223" s="65" t="s">
        <v>179</v>
      </c>
      <c r="W223" s="65" t="s">
        <v>598</v>
      </c>
      <c r="X223" s="65" t="s">
        <v>1047</v>
      </c>
      <c r="Y223" s="65"/>
      <c r="Z223" s="65"/>
      <c r="AA223" s="65" t="s">
        <v>189</v>
      </c>
      <c r="AB223" s="65" t="s">
        <v>561</v>
      </c>
      <c r="AC223" s="65" t="s">
        <v>562</v>
      </c>
      <c r="AD223" s="62">
        <v>1</v>
      </c>
      <c r="AE223" s="62">
        <v>1</v>
      </c>
      <c r="AF223" s="69">
        <v>0</v>
      </c>
      <c r="AG223" s="65" t="s">
        <v>196</v>
      </c>
      <c r="AH223" s="65" t="s">
        <v>196</v>
      </c>
      <c r="AI223" s="144"/>
    </row>
    <row r="224" spans="1:35" ht="66.75" customHeight="1" x14ac:dyDescent="0.2">
      <c r="A224" s="83">
        <v>222</v>
      </c>
      <c r="B224" s="66" t="s">
        <v>398</v>
      </c>
      <c r="C224" s="67" t="s">
        <v>107</v>
      </c>
      <c r="D224" s="68">
        <v>46086</v>
      </c>
      <c r="E224" s="65" t="s">
        <v>399</v>
      </c>
      <c r="F224" s="36" t="s">
        <v>805</v>
      </c>
      <c r="G224" s="83" t="s">
        <v>1640</v>
      </c>
      <c r="H224" s="65" t="s">
        <v>4</v>
      </c>
      <c r="I224" s="65" t="s">
        <v>198</v>
      </c>
      <c r="J224" s="68">
        <v>46091</v>
      </c>
      <c r="K224" s="62" t="s">
        <v>2</v>
      </c>
      <c r="L224" s="62" t="s">
        <v>896</v>
      </c>
      <c r="M224" s="65" t="s">
        <v>1686</v>
      </c>
      <c r="N224" s="65" t="s">
        <v>196</v>
      </c>
      <c r="O224" s="65" t="s">
        <v>196</v>
      </c>
      <c r="P224" s="65" t="s">
        <v>196</v>
      </c>
      <c r="Q224" s="65" t="s">
        <v>196</v>
      </c>
      <c r="R224" s="65" t="s">
        <v>196</v>
      </c>
      <c r="S224" s="65" t="s">
        <v>196</v>
      </c>
      <c r="T224" s="65" t="s">
        <v>196</v>
      </c>
      <c r="U224" s="65" t="s">
        <v>196</v>
      </c>
      <c r="V224" s="65" t="s">
        <v>175</v>
      </c>
      <c r="W224" s="65" t="s">
        <v>598</v>
      </c>
      <c r="X224" s="65" t="s">
        <v>1047</v>
      </c>
      <c r="Y224" s="65"/>
      <c r="Z224" s="65"/>
      <c r="AA224" s="65" t="s">
        <v>188</v>
      </c>
      <c r="AB224" s="65"/>
      <c r="AC224" s="65"/>
      <c r="AD224" s="62">
        <v>1</v>
      </c>
      <c r="AE224" s="62">
        <v>1</v>
      </c>
      <c r="AF224" s="69">
        <v>0</v>
      </c>
      <c r="AG224" s="65" t="s">
        <v>196</v>
      </c>
      <c r="AH224" s="65" t="s">
        <v>196</v>
      </c>
      <c r="AI224" s="144"/>
    </row>
    <row r="225" spans="1:35" ht="66.75" customHeight="1" x14ac:dyDescent="0.2">
      <c r="A225" s="83">
        <v>223</v>
      </c>
      <c r="B225" s="66" t="s">
        <v>240</v>
      </c>
      <c r="C225" s="67" t="s">
        <v>106</v>
      </c>
      <c r="D225" s="68">
        <v>46062</v>
      </c>
      <c r="E225" s="65" t="s">
        <v>211</v>
      </c>
      <c r="F225" s="36" t="s">
        <v>317</v>
      </c>
      <c r="G225" s="83" t="s">
        <v>242</v>
      </c>
      <c r="H225" s="65" t="s">
        <v>148</v>
      </c>
      <c r="I225" s="65" t="s">
        <v>202</v>
      </c>
      <c r="J225" s="68">
        <v>46062</v>
      </c>
      <c r="K225" s="62" t="s">
        <v>2</v>
      </c>
      <c r="L225" s="65" t="s">
        <v>196</v>
      </c>
      <c r="M225" s="65" t="s">
        <v>243</v>
      </c>
      <c r="N225" s="65" t="s">
        <v>196</v>
      </c>
      <c r="O225" s="65" t="s">
        <v>196</v>
      </c>
      <c r="P225" s="65" t="s">
        <v>196</v>
      </c>
      <c r="Q225" s="65" t="s">
        <v>196</v>
      </c>
      <c r="R225" s="65" t="s">
        <v>196</v>
      </c>
      <c r="S225" s="65" t="s">
        <v>196</v>
      </c>
      <c r="T225" s="65" t="s">
        <v>196</v>
      </c>
      <c r="U225" s="65" t="s">
        <v>196</v>
      </c>
      <c r="V225" s="65" t="s">
        <v>175</v>
      </c>
      <c r="W225" s="65" t="s">
        <v>598</v>
      </c>
      <c r="X225" s="65" t="s">
        <v>1047</v>
      </c>
      <c r="Y225" s="65"/>
      <c r="Z225" s="65" t="s">
        <v>196</v>
      </c>
      <c r="AA225" s="65" t="s">
        <v>189</v>
      </c>
      <c r="AB225" s="65" t="s">
        <v>478</v>
      </c>
      <c r="AC225" s="65" t="s">
        <v>479</v>
      </c>
      <c r="AD225" s="62">
        <v>1</v>
      </c>
      <c r="AE225" s="62">
        <v>1</v>
      </c>
      <c r="AF225" s="69">
        <v>0</v>
      </c>
      <c r="AG225" s="65" t="s">
        <v>196</v>
      </c>
      <c r="AH225" s="65" t="s">
        <v>196</v>
      </c>
      <c r="AI225" s="144"/>
    </row>
    <row r="226" spans="1:35" ht="66.75" customHeight="1" x14ac:dyDescent="0.2">
      <c r="A226" s="83">
        <v>224</v>
      </c>
      <c r="B226" s="66" t="s">
        <v>219</v>
      </c>
      <c r="C226" s="67" t="s">
        <v>106</v>
      </c>
      <c r="D226" s="68">
        <v>46057</v>
      </c>
      <c r="E226" s="65" t="s">
        <v>220</v>
      </c>
      <c r="F226" s="36" t="s">
        <v>560</v>
      </c>
      <c r="G226" s="83" t="s">
        <v>221</v>
      </c>
      <c r="H226" s="65" t="s">
        <v>4</v>
      </c>
      <c r="I226" s="65" t="s">
        <v>198</v>
      </c>
      <c r="J226" s="68">
        <v>46052</v>
      </c>
      <c r="K226" s="62" t="s">
        <v>2</v>
      </c>
      <c r="L226" s="65" t="s">
        <v>196</v>
      </c>
      <c r="M226" s="65" t="s">
        <v>300</v>
      </c>
      <c r="N226" s="65" t="s">
        <v>196</v>
      </c>
      <c r="O226" s="65" t="s">
        <v>196</v>
      </c>
      <c r="P226" s="65" t="s">
        <v>196</v>
      </c>
      <c r="Q226" s="65" t="s">
        <v>196</v>
      </c>
      <c r="R226" s="65" t="s">
        <v>196</v>
      </c>
      <c r="S226" s="65" t="s">
        <v>196</v>
      </c>
      <c r="T226" s="65" t="s">
        <v>196</v>
      </c>
      <c r="U226" s="65" t="s">
        <v>196</v>
      </c>
      <c r="V226" s="65" t="s">
        <v>175</v>
      </c>
      <c r="W226" s="65" t="s">
        <v>598</v>
      </c>
      <c r="X226" s="65" t="s">
        <v>1047</v>
      </c>
      <c r="Y226" s="65"/>
      <c r="Z226" s="65"/>
      <c r="AA226" s="65" t="s">
        <v>189</v>
      </c>
      <c r="AB226" s="65" t="s">
        <v>558</v>
      </c>
      <c r="AC226" s="65"/>
      <c r="AD226" s="62">
        <v>1</v>
      </c>
      <c r="AE226" s="62">
        <v>1</v>
      </c>
      <c r="AF226" s="69">
        <v>0</v>
      </c>
      <c r="AG226" s="65" t="s">
        <v>196</v>
      </c>
      <c r="AH226" s="65" t="s">
        <v>196</v>
      </c>
      <c r="AI226" s="144"/>
    </row>
    <row r="227" spans="1:35" ht="66.75" customHeight="1" x14ac:dyDescent="0.2">
      <c r="A227" s="83">
        <v>225</v>
      </c>
      <c r="B227" s="66" t="s">
        <v>334</v>
      </c>
      <c r="C227" s="67" t="s">
        <v>106</v>
      </c>
      <c r="D227" s="68">
        <v>46079</v>
      </c>
      <c r="E227" s="65" t="s">
        <v>335</v>
      </c>
      <c r="F227" s="36" t="s">
        <v>574</v>
      </c>
      <c r="G227" s="83" t="s">
        <v>337</v>
      </c>
      <c r="H227" s="65" t="s">
        <v>142</v>
      </c>
      <c r="I227" s="65" t="s">
        <v>198</v>
      </c>
      <c r="J227" s="68">
        <v>46079</v>
      </c>
      <c r="K227" s="62" t="s">
        <v>2</v>
      </c>
      <c r="L227" s="65" t="s">
        <v>196</v>
      </c>
      <c r="M227" s="65" t="s">
        <v>336</v>
      </c>
      <c r="N227" s="65" t="s">
        <v>196</v>
      </c>
      <c r="O227" s="65" t="s">
        <v>196</v>
      </c>
      <c r="P227" s="65" t="s">
        <v>196</v>
      </c>
      <c r="Q227" s="65" t="s">
        <v>196</v>
      </c>
      <c r="R227" s="65" t="s">
        <v>196</v>
      </c>
      <c r="S227" s="65" t="s">
        <v>196</v>
      </c>
      <c r="T227" s="65" t="s">
        <v>196</v>
      </c>
      <c r="U227" s="65" t="s">
        <v>196</v>
      </c>
      <c r="V227" s="65" t="s">
        <v>176</v>
      </c>
      <c r="W227" s="65" t="s">
        <v>852</v>
      </c>
      <c r="X227" s="65" t="s">
        <v>1048</v>
      </c>
      <c r="Y227" s="65"/>
      <c r="Z227" s="65"/>
      <c r="AA227" s="65"/>
      <c r="AB227" s="65"/>
      <c r="AC227" s="65"/>
      <c r="AD227" s="62">
        <v>0</v>
      </c>
      <c r="AE227" s="62">
        <f>AF227/4</f>
        <v>0</v>
      </c>
      <c r="AF227" s="69">
        <v>0</v>
      </c>
      <c r="AG227" s="65" t="s">
        <v>196</v>
      </c>
      <c r="AH227" s="65" t="s">
        <v>196</v>
      </c>
      <c r="AI227" s="144"/>
    </row>
    <row r="228" spans="1:35" ht="66.75" customHeight="1" x14ac:dyDescent="0.2">
      <c r="A228" s="83">
        <v>226</v>
      </c>
      <c r="B228" s="66" t="s">
        <v>341</v>
      </c>
      <c r="C228" s="67" t="s">
        <v>106</v>
      </c>
      <c r="D228" s="68">
        <v>46079</v>
      </c>
      <c r="E228" s="65" t="s">
        <v>342</v>
      </c>
      <c r="F228" s="36" t="s">
        <v>574</v>
      </c>
      <c r="G228" s="83" t="s">
        <v>343</v>
      </c>
      <c r="H228" s="65" t="s">
        <v>142</v>
      </c>
      <c r="I228" s="65" t="s">
        <v>198</v>
      </c>
      <c r="J228" s="68">
        <v>46079</v>
      </c>
      <c r="K228" s="62" t="s">
        <v>2</v>
      </c>
      <c r="L228" s="65" t="s">
        <v>196</v>
      </c>
      <c r="M228" s="65" t="s">
        <v>336</v>
      </c>
      <c r="N228" s="65" t="s">
        <v>3</v>
      </c>
      <c r="O228" s="65" t="s">
        <v>196</v>
      </c>
      <c r="P228" s="65" t="s">
        <v>196</v>
      </c>
      <c r="Q228" s="65" t="s">
        <v>196</v>
      </c>
      <c r="R228" s="65" t="s">
        <v>196</v>
      </c>
      <c r="S228" s="65" t="s">
        <v>196</v>
      </c>
      <c r="T228" s="65" t="s">
        <v>196</v>
      </c>
      <c r="U228" s="65" t="s">
        <v>196</v>
      </c>
      <c r="V228" s="65" t="s">
        <v>176</v>
      </c>
      <c r="W228" s="65" t="s">
        <v>852</v>
      </c>
      <c r="X228" s="65" t="s">
        <v>1048</v>
      </c>
      <c r="Y228" s="65"/>
      <c r="Z228" s="65"/>
      <c r="AA228" s="65"/>
      <c r="AB228" s="65"/>
      <c r="AC228" s="65"/>
      <c r="AD228" s="62">
        <v>0</v>
      </c>
      <c r="AE228" s="62">
        <f>AF228/4</f>
        <v>0</v>
      </c>
      <c r="AF228" s="69">
        <v>0</v>
      </c>
      <c r="AG228" s="65" t="s">
        <v>196</v>
      </c>
      <c r="AH228" s="65" t="s">
        <v>196</v>
      </c>
      <c r="AI228" s="144"/>
    </row>
    <row r="229" spans="1:35" ht="66.75" customHeight="1" x14ac:dyDescent="0.2">
      <c r="A229" s="83">
        <v>227</v>
      </c>
      <c r="B229" s="66" t="s">
        <v>344</v>
      </c>
      <c r="C229" s="67" t="s">
        <v>106</v>
      </c>
      <c r="D229" s="68">
        <v>46079</v>
      </c>
      <c r="E229" s="65" t="s">
        <v>345</v>
      </c>
      <c r="F229" s="36" t="s">
        <v>574</v>
      </c>
      <c r="G229" s="83" t="s">
        <v>346</v>
      </c>
      <c r="H229" s="65" t="s">
        <v>142</v>
      </c>
      <c r="I229" s="65" t="s">
        <v>198</v>
      </c>
      <c r="J229" s="68">
        <v>46079</v>
      </c>
      <c r="K229" s="62" t="s">
        <v>2</v>
      </c>
      <c r="L229" s="65" t="s">
        <v>196</v>
      </c>
      <c r="M229" s="65" t="s">
        <v>336</v>
      </c>
      <c r="N229" s="65" t="s">
        <v>196</v>
      </c>
      <c r="O229" s="65" t="s">
        <v>196</v>
      </c>
      <c r="P229" s="65" t="s">
        <v>196</v>
      </c>
      <c r="Q229" s="65" t="s">
        <v>196</v>
      </c>
      <c r="R229" s="65" t="s">
        <v>196</v>
      </c>
      <c r="S229" s="65" t="s">
        <v>196</v>
      </c>
      <c r="T229" s="65" t="s">
        <v>196</v>
      </c>
      <c r="U229" s="65" t="s">
        <v>196</v>
      </c>
      <c r="V229" s="65" t="s">
        <v>176</v>
      </c>
      <c r="W229" s="65" t="s">
        <v>852</v>
      </c>
      <c r="X229" s="65" t="s">
        <v>1048</v>
      </c>
      <c r="Y229" s="65"/>
      <c r="Z229" s="65"/>
      <c r="AA229" s="65"/>
      <c r="AB229" s="65"/>
      <c r="AC229" s="65"/>
      <c r="AD229" s="62">
        <v>0</v>
      </c>
      <c r="AE229" s="62">
        <f>AF229/4</f>
        <v>0</v>
      </c>
      <c r="AF229" s="69">
        <v>0</v>
      </c>
      <c r="AG229" s="65" t="s">
        <v>196</v>
      </c>
      <c r="AH229" s="65" t="s">
        <v>196</v>
      </c>
      <c r="AI229" s="144"/>
    </row>
    <row r="230" spans="1:35" ht="66.75" customHeight="1" x14ac:dyDescent="0.2">
      <c r="A230" s="83">
        <v>228</v>
      </c>
      <c r="B230" s="66" t="s">
        <v>1180</v>
      </c>
      <c r="C230" s="67" t="s">
        <v>110</v>
      </c>
      <c r="D230" s="68">
        <v>46175</v>
      </c>
      <c r="E230" s="65" t="s">
        <v>1181</v>
      </c>
      <c r="F230" s="36" t="s">
        <v>548</v>
      </c>
      <c r="G230" s="83" t="s">
        <v>1182</v>
      </c>
      <c r="H230" s="65" t="s">
        <v>140</v>
      </c>
      <c r="I230" s="65" t="s">
        <v>198</v>
      </c>
      <c r="J230" s="68">
        <v>46175</v>
      </c>
      <c r="K230" s="62" t="s">
        <v>2</v>
      </c>
      <c r="L230" s="65" t="s">
        <v>1235</v>
      </c>
      <c r="M230" s="65" t="s">
        <v>1691</v>
      </c>
      <c r="N230" s="65" t="s">
        <v>2</v>
      </c>
      <c r="O230" s="65" t="s">
        <v>1508</v>
      </c>
      <c r="P230" s="65" t="s">
        <v>2</v>
      </c>
      <c r="Q230" s="65" t="s">
        <v>1697</v>
      </c>
      <c r="R230" s="65" t="s">
        <v>3</v>
      </c>
      <c r="S230" s="65" t="s">
        <v>196</v>
      </c>
      <c r="T230" s="65" t="s">
        <v>196</v>
      </c>
      <c r="U230" s="65" t="s">
        <v>196</v>
      </c>
      <c r="V230" s="65" t="s">
        <v>173</v>
      </c>
      <c r="W230" s="65" t="s">
        <v>599</v>
      </c>
      <c r="X230" s="98" t="s">
        <v>1043</v>
      </c>
      <c r="Y230" s="98" t="s">
        <v>74</v>
      </c>
      <c r="Z230" s="65" t="s">
        <v>1155</v>
      </c>
      <c r="AA230" s="65"/>
      <c r="AB230" s="65"/>
      <c r="AC230" s="65"/>
      <c r="AD230" s="62"/>
      <c r="AE230" s="62"/>
      <c r="AF230" s="81"/>
      <c r="AG230" s="62"/>
      <c r="AH230" s="65" t="s">
        <v>970</v>
      </c>
      <c r="AI230" s="144"/>
    </row>
    <row r="231" spans="1:35" ht="66.75" customHeight="1" x14ac:dyDescent="0.2">
      <c r="A231" s="83">
        <v>229</v>
      </c>
      <c r="B231" s="66" t="s">
        <v>1145</v>
      </c>
      <c r="C231" s="67" t="s">
        <v>110</v>
      </c>
      <c r="D231" s="68">
        <v>46175</v>
      </c>
      <c r="E231" s="65" t="s">
        <v>1116</v>
      </c>
      <c r="F231" s="36" t="s">
        <v>548</v>
      </c>
      <c r="G231" s="83" t="s">
        <v>1146</v>
      </c>
      <c r="H231" s="65" t="s">
        <v>140</v>
      </c>
      <c r="I231" s="65" t="s">
        <v>198</v>
      </c>
      <c r="J231" s="68">
        <v>46175</v>
      </c>
      <c r="K231" s="62" t="s">
        <v>2</v>
      </c>
      <c r="L231" s="65" t="s">
        <v>1234</v>
      </c>
      <c r="M231" s="65" t="s">
        <v>1690</v>
      </c>
      <c r="N231" s="65" t="s">
        <v>2</v>
      </c>
      <c r="O231" s="65" t="s">
        <v>1508</v>
      </c>
      <c r="P231" s="65" t="s">
        <v>2</v>
      </c>
      <c r="Q231" s="65" t="s">
        <v>1697</v>
      </c>
      <c r="R231" s="65" t="s">
        <v>196</v>
      </c>
      <c r="S231" s="65" t="s">
        <v>196</v>
      </c>
      <c r="T231" s="65" t="s">
        <v>196</v>
      </c>
      <c r="U231" s="65" t="s">
        <v>196</v>
      </c>
      <c r="V231" s="65" t="s">
        <v>173</v>
      </c>
      <c r="W231" s="65" t="s">
        <v>599</v>
      </c>
      <c r="X231" s="98" t="s">
        <v>1043</v>
      </c>
      <c r="Y231" s="98" t="s">
        <v>74</v>
      </c>
      <c r="Z231" s="65"/>
      <c r="AA231" s="65"/>
      <c r="AB231" s="65"/>
      <c r="AC231" s="65"/>
      <c r="AD231" s="62"/>
      <c r="AE231" s="62"/>
      <c r="AF231" s="81"/>
      <c r="AG231" s="62"/>
      <c r="AH231" s="65" t="s">
        <v>970</v>
      </c>
      <c r="AI231" s="144"/>
    </row>
    <row r="232" spans="1:35" ht="66.75" customHeight="1" x14ac:dyDescent="0.2">
      <c r="A232" s="83">
        <v>230</v>
      </c>
      <c r="B232" s="66" t="s">
        <v>660</v>
      </c>
      <c r="C232" s="67" t="s">
        <v>108</v>
      </c>
      <c r="D232" s="68">
        <v>46134</v>
      </c>
      <c r="E232" s="65" t="s">
        <v>667</v>
      </c>
      <c r="F232" s="36" t="s">
        <v>1057</v>
      </c>
      <c r="G232" s="83" t="s">
        <v>1129</v>
      </c>
      <c r="H232" s="65" t="s">
        <v>229</v>
      </c>
      <c r="I232" s="65" t="s">
        <v>198</v>
      </c>
      <c r="J232" s="68">
        <v>46134</v>
      </c>
      <c r="K232" s="62" t="s">
        <v>2</v>
      </c>
      <c r="L232" s="65" t="s">
        <v>196</v>
      </c>
      <c r="M232" s="65" t="s">
        <v>1007</v>
      </c>
      <c r="N232" s="65" t="s">
        <v>196</v>
      </c>
      <c r="O232" s="65" t="s">
        <v>196</v>
      </c>
      <c r="P232" s="65" t="s">
        <v>196</v>
      </c>
      <c r="Q232" s="65" t="s">
        <v>196</v>
      </c>
      <c r="R232" s="65" t="s">
        <v>196</v>
      </c>
      <c r="S232" s="65" t="s">
        <v>196</v>
      </c>
      <c r="T232" s="65" t="s">
        <v>196</v>
      </c>
      <c r="U232" s="65" t="s">
        <v>196</v>
      </c>
      <c r="V232" s="65" t="s">
        <v>176</v>
      </c>
      <c r="W232" s="65" t="s">
        <v>598</v>
      </c>
      <c r="X232" s="65" t="s">
        <v>1047</v>
      </c>
      <c r="Y232" s="65"/>
      <c r="Z232" s="65"/>
      <c r="AA232" s="65"/>
      <c r="AB232" s="65"/>
      <c r="AC232" s="65"/>
      <c r="AD232" s="62">
        <v>0</v>
      </c>
      <c r="AE232" s="62">
        <f>AF232/4</f>
        <v>0</v>
      </c>
      <c r="AF232" s="69">
        <v>0</v>
      </c>
      <c r="AG232" s="65" t="s">
        <v>196</v>
      </c>
      <c r="AH232" s="65" t="s">
        <v>196</v>
      </c>
      <c r="AI232" s="144"/>
    </row>
    <row r="233" spans="1:35" ht="121.5" customHeight="1" x14ac:dyDescent="0.2">
      <c r="A233" s="83">
        <v>231</v>
      </c>
      <c r="B233" s="66" t="s">
        <v>1451</v>
      </c>
      <c r="C233" s="67" t="s">
        <v>111</v>
      </c>
      <c r="D233" s="68">
        <v>46226</v>
      </c>
      <c r="E233" s="65" t="s">
        <v>1452</v>
      </c>
      <c r="F233" s="36"/>
      <c r="G233" s="101" t="s">
        <v>1864</v>
      </c>
      <c r="H233" s="65" t="s">
        <v>140</v>
      </c>
      <c r="I233" s="65" t="s">
        <v>198</v>
      </c>
      <c r="J233" s="68">
        <v>46226</v>
      </c>
      <c r="K233" s="62" t="s">
        <v>2</v>
      </c>
      <c r="L233" s="83" t="s">
        <v>1509</v>
      </c>
      <c r="M233" s="65" t="s">
        <v>1510</v>
      </c>
      <c r="N233" s="65" t="s">
        <v>2</v>
      </c>
      <c r="O233" s="65" t="s">
        <v>1511</v>
      </c>
      <c r="P233" s="65" t="s">
        <v>2</v>
      </c>
      <c r="Q233" s="65" t="s">
        <v>1845</v>
      </c>
      <c r="R233" s="65" t="s">
        <v>2</v>
      </c>
      <c r="S233" s="65" t="s">
        <v>1869</v>
      </c>
      <c r="T233" s="65"/>
      <c r="U233" s="65"/>
      <c r="V233" s="65" t="s">
        <v>179</v>
      </c>
      <c r="W233" s="65" t="s">
        <v>598</v>
      </c>
      <c r="X233" s="98" t="s">
        <v>1046</v>
      </c>
      <c r="Y233" s="98" t="s">
        <v>14</v>
      </c>
      <c r="Z233" s="65"/>
      <c r="AA233" s="65" t="s">
        <v>189</v>
      </c>
      <c r="AB233" s="65"/>
      <c r="AC233" s="65"/>
      <c r="AD233" s="89">
        <v>1</v>
      </c>
      <c r="AE233" s="89">
        <v>0</v>
      </c>
      <c r="AF233" s="84">
        <v>0</v>
      </c>
      <c r="AG233" s="65" t="s">
        <v>196</v>
      </c>
      <c r="AH233" s="65" t="s">
        <v>835</v>
      </c>
      <c r="AI233" s="144"/>
    </row>
    <row r="234" spans="1:35" ht="66.75" customHeight="1" x14ac:dyDescent="0.2">
      <c r="A234" s="83">
        <v>232</v>
      </c>
      <c r="B234" s="66" t="s">
        <v>1409</v>
      </c>
      <c r="C234" s="67" t="s">
        <v>111</v>
      </c>
      <c r="D234" s="68">
        <v>46212</v>
      </c>
      <c r="E234" s="65" t="s">
        <v>1413</v>
      </c>
      <c r="F234" s="36" t="s">
        <v>1057</v>
      </c>
      <c r="G234" s="83" t="s">
        <v>1414</v>
      </c>
      <c r="H234" s="65" t="s">
        <v>4</v>
      </c>
      <c r="I234" s="65" t="s">
        <v>195</v>
      </c>
      <c r="J234" s="68">
        <v>46212</v>
      </c>
      <c r="K234" s="62" t="s">
        <v>2</v>
      </c>
      <c r="L234" s="65" t="s">
        <v>196</v>
      </c>
      <c r="M234" s="65" t="s">
        <v>1415</v>
      </c>
      <c r="N234" s="65" t="s">
        <v>196</v>
      </c>
      <c r="O234" s="65" t="s">
        <v>196</v>
      </c>
      <c r="P234" s="65" t="s">
        <v>196</v>
      </c>
      <c r="Q234" s="65" t="s">
        <v>196</v>
      </c>
      <c r="R234" s="65" t="s">
        <v>196</v>
      </c>
      <c r="S234" s="65" t="s">
        <v>196</v>
      </c>
      <c r="T234" s="65" t="s">
        <v>196</v>
      </c>
      <c r="U234" s="65" t="s">
        <v>196</v>
      </c>
      <c r="V234" s="65" t="s">
        <v>175</v>
      </c>
      <c r="W234" s="65" t="s">
        <v>598</v>
      </c>
      <c r="X234" s="65" t="s">
        <v>1047</v>
      </c>
      <c r="Y234" s="65"/>
      <c r="Z234" s="65"/>
      <c r="AA234" s="65"/>
      <c r="AB234" s="65"/>
      <c r="AC234" s="65"/>
      <c r="AD234" s="89">
        <v>1</v>
      </c>
      <c r="AE234" s="89">
        <v>1</v>
      </c>
      <c r="AF234" s="84">
        <v>0</v>
      </c>
      <c r="AG234" s="65" t="s">
        <v>196</v>
      </c>
      <c r="AH234" s="65" t="s">
        <v>196</v>
      </c>
      <c r="AI234" s="144"/>
    </row>
    <row r="235" spans="1:35" ht="66.75" customHeight="1" x14ac:dyDescent="0.2">
      <c r="A235" s="83">
        <v>233</v>
      </c>
      <c r="B235" s="66" t="s">
        <v>1108</v>
      </c>
      <c r="C235" s="67" t="s">
        <v>110</v>
      </c>
      <c r="D235" s="68">
        <v>46175</v>
      </c>
      <c r="E235" s="65" t="s">
        <v>1140</v>
      </c>
      <c r="F235" s="99"/>
      <c r="G235" s="83" t="s">
        <v>1141</v>
      </c>
      <c r="H235" s="65" t="s">
        <v>148</v>
      </c>
      <c r="I235" s="65" t="s">
        <v>202</v>
      </c>
      <c r="J235" s="68">
        <v>46175</v>
      </c>
      <c r="K235" s="62" t="s">
        <v>2</v>
      </c>
      <c r="L235" s="65" t="s">
        <v>1025</v>
      </c>
      <c r="M235" s="65" t="s">
        <v>1142</v>
      </c>
      <c r="N235" s="65" t="s">
        <v>196</v>
      </c>
      <c r="O235" s="65" t="s">
        <v>196</v>
      </c>
      <c r="P235" s="65" t="s">
        <v>196</v>
      </c>
      <c r="Q235" s="65" t="s">
        <v>196</v>
      </c>
      <c r="R235" s="65" t="s">
        <v>196</v>
      </c>
      <c r="S235" s="65" t="s">
        <v>196</v>
      </c>
      <c r="T235" s="65" t="s">
        <v>196</v>
      </c>
      <c r="U235" s="65" t="s">
        <v>196</v>
      </c>
      <c r="V235" s="65" t="s">
        <v>175</v>
      </c>
      <c r="W235" s="65" t="s">
        <v>598</v>
      </c>
      <c r="X235" s="65" t="s">
        <v>1047</v>
      </c>
      <c r="Y235" s="65"/>
      <c r="Z235" s="65"/>
      <c r="AA235" s="65"/>
      <c r="AB235" s="65"/>
      <c r="AC235" s="65"/>
      <c r="AD235" s="62"/>
      <c r="AE235" s="62"/>
      <c r="AF235" s="84"/>
      <c r="AG235" s="65" t="s">
        <v>196</v>
      </c>
      <c r="AH235" s="65" t="s">
        <v>196</v>
      </c>
      <c r="AI235" s="144"/>
    </row>
    <row r="236" spans="1:35" ht="66.75" customHeight="1" x14ac:dyDescent="0.2">
      <c r="A236" s="83">
        <v>234</v>
      </c>
      <c r="B236" s="66" t="s">
        <v>1191</v>
      </c>
      <c r="C236" s="67" t="s">
        <v>110</v>
      </c>
      <c r="D236" s="68">
        <v>46178</v>
      </c>
      <c r="E236" s="65" t="s">
        <v>1192</v>
      </c>
      <c r="F236" s="36"/>
      <c r="G236" s="83" t="s">
        <v>1193</v>
      </c>
      <c r="H236" s="65" t="s">
        <v>149</v>
      </c>
      <c r="I236" s="65" t="s">
        <v>202</v>
      </c>
      <c r="J236" s="68">
        <v>46178</v>
      </c>
      <c r="K236" s="62" t="s">
        <v>2</v>
      </c>
      <c r="L236" s="62" t="s">
        <v>196</v>
      </c>
      <c r="M236" s="65" t="s">
        <v>1194</v>
      </c>
      <c r="N236" s="65" t="s">
        <v>196</v>
      </c>
      <c r="O236" s="65" t="s">
        <v>196</v>
      </c>
      <c r="P236" s="65" t="s">
        <v>196</v>
      </c>
      <c r="Q236" s="65" t="s">
        <v>196</v>
      </c>
      <c r="R236" s="65" t="s">
        <v>196</v>
      </c>
      <c r="S236" s="65" t="s">
        <v>196</v>
      </c>
      <c r="T236" s="65" t="s">
        <v>196</v>
      </c>
      <c r="U236" s="65" t="s">
        <v>196</v>
      </c>
      <c r="V236" s="65" t="s">
        <v>175</v>
      </c>
      <c r="W236" s="65" t="s">
        <v>598</v>
      </c>
      <c r="X236" s="65" t="s">
        <v>1047</v>
      </c>
      <c r="Y236" s="65"/>
      <c r="Z236" s="65"/>
      <c r="AA236" s="65"/>
      <c r="AB236" s="65"/>
      <c r="AC236" s="65"/>
      <c r="AD236" s="62"/>
      <c r="AE236" s="62"/>
      <c r="AF236" s="81"/>
      <c r="AG236" s="65" t="s">
        <v>196</v>
      </c>
      <c r="AH236" s="65" t="s">
        <v>196</v>
      </c>
      <c r="AI236" s="144"/>
    </row>
    <row r="237" spans="1:35" ht="66.75" customHeight="1" x14ac:dyDescent="0.2">
      <c r="A237" s="83">
        <v>235</v>
      </c>
      <c r="B237" s="66" t="s">
        <v>1377</v>
      </c>
      <c r="C237" s="67" t="s">
        <v>111</v>
      </c>
      <c r="D237" s="68">
        <v>46209</v>
      </c>
      <c r="E237" s="65" t="s">
        <v>1391</v>
      </c>
      <c r="F237" s="36" t="s">
        <v>1056</v>
      </c>
      <c r="G237" s="83" t="s">
        <v>1392</v>
      </c>
      <c r="H237" s="65" t="s">
        <v>1393</v>
      </c>
      <c r="I237" s="65" t="s">
        <v>202</v>
      </c>
      <c r="J237" s="68">
        <v>46209</v>
      </c>
      <c r="K237" s="62" t="s">
        <v>2</v>
      </c>
      <c r="L237" s="65" t="s">
        <v>196</v>
      </c>
      <c r="M237" s="65" t="s">
        <v>1394</v>
      </c>
      <c r="N237" s="65" t="s">
        <v>196</v>
      </c>
      <c r="O237" s="65" t="s">
        <v>196</v>
      </c>
      <c r="P237" s="65" t="s">
        <v>196</v>
      </c>
      <c r="Q237" s="65" t="s">
        <v>196</v>
      </c>
      <c r="R237" s="65" t="s">
        <v>196</v>
      </c>
      <c r="S237" s="65" t="s">
        <v>196</v>
      </c>
      <c r="T237" s="65" t="s">
        <v>196</v>
      </c>
      <c r="U237" s="65" t="s">
        <v>196</v>
      </c>
      <c r="V237" s="65" t="s">
        <v>175</v>
      </c>
      <c r="W237" s="65" t="s">
        <v>598</v>
      </c>
      <c r="X237" s="65" t="s">
        <v>1047</v>
      </c>
      <c r="Y237" s="65"/>
      <c r="Z237" s="65"/>
      <c r="AA237" s="65" t="s">
        <v>188</v>
      </c>
      <c r="AB237" s="65"/>
      <c r="AC237" s="65"/>
      <c r="AD237" s="89">
        <v>1</v>
      </c>
      <c r="AE237" s="89">
        <v>1</v>
      </c>
      <c r="AF237" s="84">
        <v>0</v>
      </c>
      <c r="AG237" s="65" t="s">
        <v>196</v>
      </c>
      <c r="AH237" s="65" t="s">
        <v>196</v>
      </c>
      <c r="AI237" s="144"/>
    </row>
    <row r="238" spans="1:35" ht="66.75" customHeight="1" x14ac:dyDescent="0.2">
      <c r="A238" s="83">
        <v>236</v>
      </c>
      <c r="B238" s="66" t="s">
        <v>1706</v>
      </c>
      <c r="C238" s="67" t="s">
        <v>112</v>
      </c>
      <c r="D238" s="68">
        <v>46253</v>
      </c>
      <c r="E238" s="65" t="s">
        <v>1707</v>
      </c>
      <c r="F238" s="36" t="s">
        <v>544</v>
      </c>
      <c r="G238" s="83" t="s">
        <v>1708</v>
      </c>
      <c r="H238" s="65" t="s">
        <v>148</v>
      </c>
      <c r="I238" s="65" t="s">
        <v>198</v>
      </c>
      <c r="J238" s="68">
        <v>46254</v>
      </c>
      <c r="K238" s="62" t="s">
        <v>2</v>
      </c>
      <c r="L238" s="65"/>
      <c r="M238" s="65" t="s">
        <v>1709</v>
      </c>
      <c r="N238" s="65" t="s">
        <v>196</v>
      </c>
      <c r="O238" s="65" t="s">
        <v>196</v>
      </c>
      <c r="P238" s="65" t="s">
        <v>196</v>
      </c>
      <c r="Q238" s="65" t="s">
        <v>196</v>
      </c>
      <c r="R238" s="65" t="s">
        <v>196</v>
      </c>
      <c r="S238" s="65" t="s">
        <v>196</v>
      </c>
      <c r="T238" s="65" t="s">
        <v>196</v>
      </c>
      <c r="U238" s="65" t="s">
        <v>196</v>
      </c>
      <c r="V238" s="65" t="s">
        <v>175</v>
      </c>
      <c r="W238" s="65" t="s">
        <v>598</v>
      </c>
      <c r="X238" s="65" t="s">
        <v>1047</v>
      </c>
      <c r="Y238" s="65"/>
      <c r="Z238" s="65"/>
      <c r="AA238" s="65"/>
      <c r="AB238" s="65"/>
      <c r="AC238" s="65"/>
      <c r="AD238" s="89">
        <v>1</v>
      </c>
      <c r="AE238" s="89">
        <v>0</v>
      </c>
      <c r="AF238" s="84">
        <v>0</v>
      </c>
      <c r="AG238" s="65" t="s">
        <v>196</v>
      </c>
      <c r="AH238" s="65" t="s">
        <v>196</v>
      </c>
      <c r="AI238" s="144"/>
    </row>
    <row r="239" spans="1:35" ht="37.5" customHeight="1" x14ac:dyDescent="0.2">
      <c r="A239" s="83">
        <v>237</v>
      </c>
      <c r="B239" s="66" t="s">
        <v>1434</v>
      </c>
      <c r="C239" s="67" t="s">
        <v>111</v>
      </c>
      <c r="D239" s="68">
        <v>46218</v>
      </c>
      <c r="E239" s="65" t="s">
        <v>211</v>
      </c>
      <c r="F239" s="36" t="s">
        <v>1386</v>
      </c>
      <c r="G239" s="83" t="s">
        <v>1441</v>
      </c>
      <c r="H239" s="65" t="s">
        <v>140</v>
      </c>
      <c r="I239" s="65" t="s">
        <v>198</v>
      </c>
      <c r="J239" s="68">
        <v>46218</v>
      </c>
      <c r="K239" s="62" t="s">
        <v>170</v>
      </c>
      <c r="L239" s="65" t="s">
        <v>196</v>
      </c>
      <c r="M239" s="65" t="s">
        <v>196</v>
      </c>
      <c r="N239" s="65" t="s">
        <v>196</v>
      </c>
      <c r="O239" s="65" t="s">
        <v>196</v>
      </c>
      <c r="P239" s="65" t="s">
        <v>196</v>
      </c>
      <c r="Q239" s="65" t="s">
        <v>196</v>
      </c>
      <c r="R239" s="65" t="s">
        <v>196</v>
      </c>
      <c r="S239" s="65" t="s">
        <v>196</v>
      </c>
      <c r="T239" s="65" t="s">
        <v>196</v>
      </c>
      <c r="U239" s="65" t="s">
        <v>196</v>
      </c>
      <c r="V239" s="65" t="s">
        <v>173</v>
      </c>
      <c r="W239" s="65" t="s">
        <v>598</v>
      </c>
      <c r="X239" s="98" t="s">
        <v>165</v>
      </c>
      <c r="Y239" s="98" t="s">
        <v>59</v>
      </c>
      <c r="Z239" s="65" t="s">
        <v>1440</v>
      </c>
      <c r="AA239" s="65"/>
      <c r="AB239" s="65"/>
      <c r="AC239" s="65"/>
      <c r="AD239" s="89">
        <v>1</v>
      </c>
      <c r="AE239" s="89"/>
      <c r="AF239" s="84"/>
      <c r="AG239" s="65"/>
      <c r="AH239" s="65" t="s">
        <v>822</v>
      </c>
      <c r="AI239" s="144"/>
    </row>
    <row r="240" spans="1:35" ht="66.75" customHeight="1" x14ac:dyDescent="0.2">
      <c r="A240" s="83">
        <v>238</v>
      </c>
      <c r="B240" s="66" t="s">
        <v>1444</v>
      </c>
      <c r="C240" s="67" t="s">
        <v>111</v>
      </c>
      <c r="D240" s="68">
        <v>46219</v>
      </c>
      <c r="E240" s="65" t="s">
        <v>1446</v>
      </c>
      <c r="F240" s="36" t="s">
        <v>1448</v>
      </c>
      <c r="G240" s="83" t="s">
        <v>1449</v>
      </c>
      <c r="H240" s="65" t="s">
        <v>168</v>
      </c>
      <c r="I240" s="65" t="s">
        <v>198</v>
      </c>
      <c r="J240" s="68">
        <v>46219</v>
      </c>
      <c r="K240" s="62" t="s">
        <v>2</v>
      </c>
      <c r="L240" s="65" t="s">
        <v>196</v>
      </c>
      <c r="M240" s="65" t="s">
        <v>196</v>
      </c>
      <c r="N240" s="65" t="s">
        <v>196</v>
      </c>
      <c r="O240" s="65" t="s">
        <v>196</v>
      </c>
      <c r="P240" s="65" t="s">
        <v>196</v>
      </c>
      <c r="Q240" s="65" t="s">
        <v>196</v>
      </c>
      <c r="R240" s="65" t="s">
        <v>196</v>
      </c>
      <c r="S240" s="65" t="s">
        <v>196</v>
      </c>
      <c r="T240" s="65" t="s">
        <v>196</v>
      </c>
      <c r="U240" s="65" t="s">
        <v>196</v>
      </c>
      <c r="V240" s="65" t="s">
        <v>175</v>
      </c>
      <c r="W240" s="65" t="s">
        <v>598</v>
      </c>
      <c r="X240" s="65" t="s">
        <v>1048</v>
      </c>
      <c r="Y240" s="65"/>
      <c r="Z240" s="65"/>
      <c r="AA240" s="65"/>
      <c r="AB240" s="65"/>
      <c r="AC240" s="65"/>
      <c r="AD240" s="89">
        <v>1</v>
      </c>
      <c r="AE240" s="89">
        <v>1</v>
      </c>
      <c r="AF240" s="84">
        <v>0</v>
      </c>
      <c r="AG240" s="65" t="s">
        <v>196</v>
      </c>
      <c r="AH240" s="65" t="s">
        <v>196</v>
      </c>
      <c r="AI240" s="144"/>
    </row>
    <row r="241" spans="1:35" ht="66.75" customHeight="1" x14ac:dyDescent="0.2">
      <c r="A241" s="83">
        <v>239</v>
      </c>
      <c r="B241" s="66" t="s">
        <v>1445</v>
      </c>
      <c r="C241" s="67" t="s">
        <v>111</v>
      </c>
      <c r="D241" s="68">
        <v>46219</v>
      </c>
      <c r="E241" s="65" t="s">
        <v>1447</v>
      </c>
      <c r="F241" s="36" t="s">
        <v>1448</v>
      </c>
      <c r="G241" s="83" t="s">
        <v>1450</v>
      </c>
      <c r="H241" s="65" t="s">
        <v>168</v>
      </c>
      <c r="I241" s="65" t="s">
        <v>198</v>
      </c>
      <c r="J241" s="68">
        <v>46219</v>
      </c>
      <c r="K241" s="62" t="s">
        <v>2</v>
      </c>
      <c r="L241" s="65" t="s">
        <v>196</v>
      </c>
      <c r="M241" s="65" t="s">
        <v>196</v>
      </c>
      <c r="N241" s="65" t="s">
        <v>196</v>
      </c>
      <c r="O241" s="65" t="s">
        <v>196</v>
      </c>
      <c r="P241" s="65" t="s">
        <v>196</v>
      </c>
      <c r="Q241" s="65" t="s">
        <v>196</v>
      </c>
      <c r="R241" s="65" t="s">
        <v>196</v>
      </c>
      <c r="S241" s="65" t="s">
        <v>196</v>
      </c>
      <c r="T241" s="65" t="s">
        <v>196</v>
      </c>
      <c r="U241" s="65" t="s">
        <v>196</v>
      </c>
      <c r="V241" s="65" t="s">
        <v>175</v>
      </c>
      <c r="W241" s="65" t="s">
        <v>598</v>
      </c>
      <c r="X241" s="65" t="s">
        <v>1048</v>
      </c>
      <c r="Y241" s="65"/>
      <c r="Z241" s="65"/>
      <c r="AA241" s="65"/>
      <c r="AB241" s="65"/>
      <c r="AC241" s="65"/>
      <c r="AD241" s="89">
        <v>1</v>
      </c>
      <c r="AE241" s="89">
        <v>1</v>
      </c>
      <c r="AF241" s="84">
        <v>0</v>
      </c>
      <c r="AG241" s="65" t="s">
        <v>196</v>
      </c>
      <c r="AH241" s="65" t="s">
        <v>196</v>
      </c>
      <c r="AI241" s="144"/>
    </row>
    <row r="242" spans="1:35" ht="78.75" x14ac:dyDescent="0.2">
      <c r="A242" s="83">
        <v>240</v>
      </c>
      <c r="B242" s="66" t="s">
        <v>1537</v>
      </c>
      <c r="C242" s="67" t="s">
        <v>112</v>
      </c>
      <c r="D242" s="68">
        <v>46240</v>
      </c>
      <c r="E242" s="65" t="s">
        <v>1554</v>
      </c>
      <c r="F242" s="36" t="s">
        <v>1576</v>
      </c>
      <c r="G242" s="83" t="s">
        <v>1558</v>
      </c>
      <c r="H242" s="65" t="s">
        <v>148</v>
      </c>
      <c r="I242" s="65" t="s">
        <v>198</v>
      </c>
      <c r="J242" s="68">
        <v>46240</v>
      </c>
      <c r="K242" s="62" t="s">
        <v>2</v>
      </c>
      <c r="L242" s="65" t="s">
        <v>196</v>
      </c>
      <c r="M242" s="65" t="s">
        <v>196</v>
      </c>
      <c r="N242" s="65" t="s">
        <v>196</v>
      </c>
      <c r="O242" s="65" t="s">
        <v>196</v>
      </c>
      <c r="P242" s="65" t="s">
        <v>196</v>
      </c>
      <c r="Q242" s="65" t="s">
        <v>196</v>
      </c>
      <c r="R242" s="65" t="s">
        <v>196</v>
      </c>
      <c r="S242" s="65" t="s">
        <v>196</v>
      </c>
      <c r="T242" s="65" t="s">
        <v>196</v>
      </c>
      <c r="U242" s="65" t="s">
        <v>196</v>
      </c>
      <c r="V242" s="65" t="s">
        <v>175</v>
      </c>
      <c r="W242" s="65" t="s">
        <v>598</v>
      </c>
      <c r="X242" s="65" t="s">
        <v>1047</v>
      </c>
      <c r="Y242" s="65"/>
      <c r="Z242" s="65"/>
      <c r="AA242" s="65" t="s">
        <v>189</v>
      </c>
      <c r="AB242" s="65"/>
      <c r="AC242" s="65"/>
      <c r="AD242" s="89">
        <v>1</v>
      </c>
      <c r="AE242" s="89">
        <v>1</v>
      </c>
      <c r="AF242" s="84"/>
      <c r="AG242" s="65" t="s">
        <v>196</v>
      </c>
      <c r="AH242" s="65" t="s">
        <v>196</v>
      </c>
      <c r="AI242" s="144"/>
    </row>
    <row r="243" spans="1:35" ht="48.75" customHeight="1" x14ac:dyDescent="0.2">
      <c r="A243" s="83">
        <v>241</v>
      </c>
      <c r="B243" s="66" t="s">
        <v>1614</v>
      </c>
      <c r="C243" s="67" t="s">
        <v>112</v>
      </c>
      <c r="D243" s="68">
        <v>46241</v>
      </c>
      <c r="E243" s="65" t="s">
        <v>211</v>
      </c>
      <c r="F243" s="36" t="s">
        <v>1403</v>
      </c>
      <c r="G243" s="83" t="s">
        <v>1615</v>
      </c>
      <c r="H243" s="65" t="s">
        <v>4</v>
      </c>
      <c r="I243" s="65" t="s">
        <v>202</v>
      </c>
      <c r="J243" s="68">
        <v>46241</v>
      </c>
      <c r="K243" s="62" t="s">
        <v>170</v>
      </c>
      <c r="L243" s="65" t="s">
        <v>196</v>
      </c>
      <c r="M243" s="65" t="s">
        <v>196</v>
      </c>
      <c r="N243" s="65" t="s">
        <v>196</v>
      </c>
      <c r="O243" s="65" t="s">
        <v>196</v>
      </c>
      <c r="P243" s="65" t="s">
        <v>196</v>
      </c>
      <c r="Q243" s="65" t="s">
        <v>196</v>
      </c>
      <c r="R243" s="65" t="s">
        <v>196</v>
      </c>
      <c r="S243" s="65" t="s">
        <v>196</v>
      </c>
      <c r="T243" s="65" t="s">
        <v>196</v>
      </c>
      <c r="U243" s="65" t="s">
        <v>196</v>
      </c>
      <c r="V243" s="65" t="s">
        <v>178</v>
      </c>
      <c r="W243" s="65" t="s">
        <v>598</v>
      </c>
      <c r="X243" s="65" t="s">
        <v>1047</v>
      </c>
      <c r="Y243" s="65"/>
      <c r="Z243" s="65"/>
      <c r="AA243" s="65" t="s">
        <v>188</v>
      </c>
      <c r="AB243" s="65"/>
      <c r="AC243" s="65"/>
      <c r="AD243" s="89">
        <v>1</v>
      </c>
      <c r="AE243" s="89">
        <v>1</v>
      </c>
      <c r="AF243" s="84"/>
      <c r="AG243" s="65" t="s">
        <v>196</v>
      </c>
      <c r="AH243" s="65" t="s">
        <v>196</v>
      </c>
      <c r="AI243" s="144"/>
    </row>
    <row r="244" spans="1:35" ht="66.75" customHeight="1" x14ac:dyDescent="0.2">
      <c r="A244" s="83">
        <v>242</v>
      </c>
      <c r="B244" s="66" t="s">
        <v>1670</v>
      </c>
      <c r="C244" s="67" t="s">
        <v>112</v>
      </c>
      <c r="D244" s="68">
        <v>46248</v>
      </c>
      <c r="E244" s="65" t="s">
        <v>1671</v>
      </c>
      <c r="F244" s="36" t="s">
        <v>1379</v>
      </c>
      <c r="G244" s="83" t="s">
        <v>1672</v>
      </c>
      <c r="H244" s="65" t="s">
        <v>168</v>
      </c>
      <c r="I244" s="65" t="s">
        <v>198</v>
      </c>
      <c r="J244" s="68">
        <v>46248</v>
      </c>
      <c r="K244" s="62" t="s">
        <v>2</v>
      </c>
      <c r="L244" s="65"/>
      <c r="M244" s="65" t="s">
        <v>196</v>
      </c>
      <c r="N244" s="65" t="s">
        <v>2</v>
      </c>
      <c r="O244" s="65" t="s">
        <v>1673</v>
      </c>
      <c r="P244" s="65" t="s">
        <v>3</v>
      </c>
      <c r="Q244" s="65"/>
      <c r="R244" s="65" t="s">
        <v>3</v>
      </c>
      <c r="S244" s="65" t="s">
        <v>196</v>
      </c>
      <c r="T244" s="65" t="s">
        <v>196</v>
      </c>
      <c r="U244" s="65" t="s">
        <v>196</v>
      </c>
      <c r="V244" s="65" t="s">
        <v>173</v>
      </c>
      <c r="W244" s="65" t="s">
        <v>598</v>
      </c>
      <c r="X244" s="98" t="s">
        <v>1040</v>
      </c>
      <c r="Y244" s="98" t="s">
        <v>23</v>
      </c>
      <c r="Z244" s="65" t="s">
        <v>1674</v>
      </c>
      <c r="AA244" s="65" t="s">
        <v>189</v>
      </c>
      <c r="AB244" s="65" t="s">
        <v>1675</v>
      </c>
      <c r="AC244" s="65" t="s">
        <v>1676</v>
      </c>
      <c r="AD244" s="89">
        <v>1</v>
      </c>
      <c r="AE244" s="89"/>
      <c r="AF244" s="84"/>
      <c r="AG244" s="62" t="s">
        <v>132</v>
      </c>
      <c r="AH244" s="65" t="s">
        <v>835</v>
      </c>
      <c r="AI244" s="144"/>
    </row>
    <row r="245" spans="1:35" ht="66.75" customHeight="1" x14ac:dyDescent="0.2">
      <c r="A245" s="83">
        <v>243</v>
      </c>
      <c r="B245" s="66" t="s">
        <v>232</v>
      </c>
      <c r="C245" s="67" t="s">
        <v>106</v>
      </c>
      <c r="D245" s="68">
        <v>46059</v>
      </c>
      <c r="E245" s="65" t="s">
        <v>211</v>
      </c>
      <c r="F245" s="36" t="s">
        <v>214</v>
      </c>
      <c r="G245" s="83" t="s">
        <v>233</v>
      </c>
      <c r="H245" s="65" t="s">
        <v>4</v>
      </c>
      <c r="I245" s="65" t="s">
        <v>195</v>
      </c>
      <c r="J245" s="68">
        <v>46059</v>
      </c>
      <c r="K245" s="62" t="s">
        <v>2</v>
      </c>
      <c r="L245" s="65" t="s">
        <v>196</v>
      </c>
      <c r="M245" s="65" t="s">
        <v>566</v>
      </c>
      <c r="N245" s="65" t="s">
        <v>196</v>
      </c>
      <c r="O245" s="65" t="s">
        <v>196</v>
      </c>
      <c r="P245" s="65" t="s">
        <v>196</v>
      </c>
      <c r="Q245" s="65" t="s">
        <v>196</v>
      </c>
      <c r="R245" s="65" t="s">
        <v>196</v>
      </c>
      <c r="S245" s="65" t="s">
        <v>196</v>
      </c>
      <c r="T245" s="65" t="s">
        <v>196</v>
      </c>
      <c r="U245" s="65" t="s">
        <v>196</v>
      </c>
      <c r="V245" s="65" t="s">
        <v>178</v>
      </c>
      <c r="W245" s="65" t="s">
        <v>598</v>
      </c>
      <c r="X245" s="65" t="s">
        <v>1047</v>
      </c>
      <c r="Y245" s="65"/>
      <c r="Z245" s="65"/>
      <c r="AA245" s="65" t="s">
        <v>188</v>
      </c>
      <c r="AB245" s="65"/>
      <c r="AC245" s="65"/>
      <c r="AD245" s="62">
        <v>1</v>
      </c>
      <c r="AE245" s="62">
        <v>1</v>
      </c>
      <c r="AF245" s="69">
        <v>0</v>
      </c>
      <c r="AG245" s="65" t="s">
        <v>196</v>
      </c>
      <c r="AH245" s="65" t="s">
        <v>196</v>
      </c>
      <c r="AI245" s="144"/>
    </row>
    <row r="246" spans="1:35" ht="66.75" customHeight="1" x14ac:dyDescent="0.2">
      <c r="A246" s="83">
        <v>244</v>
      </c>
      <c r="B246" s="66" t="s">
        <v>661</v>
      </c>
      <c r="C246" s="133" t="s">
        <v>108</v>
      </c>
      <c r="D246" s="129">
        <v>46134</v>
      </c>
      <c r="E246" s="65" t="s">
        <v>668</v>
      </c>
      <c r="F246" s="134" t="s">
        <v>1057</v>
      </c>
      <c r="G246" s="83" t="s">
        <v>1128</v>
      </c>
      <c r="H246" s="65" t="s">
        <v>229</v>
      </c>
      <c r="I246" s="135" t="s">
        <v>198</v>
      </c>
      <c r="J246" s="68">
        <v>46134</v>
      </c>
      <c r="K246" s="136" t="s">
        <v>2</v>
      </c>
      <c r="L246" s="65" t="s">
        <v>196</v>
      </c>
      <c r="M246" s="138" t="s">
        <v>1058</v>
      </c>
      <c r="N246" s="65" t="s">
        <v>196</v>
      </c>
      <c r="O246" s="65" t="s">
        <v>196</v>
      </c>
      <c r="P246" s="65" t="s">
        <v>196</v>
      </c>
      <c r="Q246" s="65" t="s">
        <v>196</v>
      </c>
      <c r="R246" s="137" t="s">
        <v>196</v>
      </c>
      <c r="S246" s="65" t="s">
        <v>196</v>
      </c>
      <c r="T246" s="65" t="s">
        <v>196</v>
      </c>
      <c r="U246" s="65" t="s">
        <v>196</v>
      </c>
      <c r="V246" s="65" t="s">
        <v>176</v>
      </c>
      <c r="W246" s="128" t="s">
        <v>598</v>
      </c>
      <c r="X246" s="65" t="s">
        <v>1047</v>
      </c>
      <c r="Y246" s="65"/>
      <c r="Z246" s="65"/>
      <c r="AA246" s="137"/>
      <c r="AB246" s="65"/>
      <c r="AC246" s="65"/>
      <c r="AD246" s="62">
        <v>0</v>
      </c>
      <c r="AE246" s="62">
        <f>AF246/4</f>
        <v>0</v>
      </c>
      <c r="AF246" s="69">
        <v>0</v>
      </c>
      <c r="AG246" s="128" t="s">
        <v>196</v>
      </c>
      <c r="AH246" s="65" t="s">
        <v>196</v>
      </c>
      <c r="AI246" s="143"/>
    </row>
    <row r="247" spans="1:35" ht="66.75" customHeight="1" x14ac:dyDescent="0.2">
      <c r="A247" s="83">
        <v>245</v>
      </c>
      <c r="B247" s="66" t="s">
        <v>1750</v>
      </c>
      <c r="C247" s="67" t="s">
        <v>112</v>
      </c>
      <c r="D247" s="68">
        <v>46260</v>
      </c>
      <c r="E247" s="36" t="s">
        <v>1751</v>
      </c>
      <c r="F247" s="36" t="s">
        <v>465</v>
      </c>
      <c r="G247" s="83" t="s">
        <v>1752</v>
      </c>
      <c r="H247" s="65" t="s">
        <v>140</v>
      </c>
      <c r="I247" s="65" t="s">
        <v>202</v>
      </c>
      <c r="J247" s="68">
        <v>46260</v>
      </c>
      <c r="K247" s="62" t="s">
        <v>2</v>
      </c>
      <c r="L247" s="65" t="s">
        <v>196</v>
      </c>
      <c r="M247" s="65" t="s">
        <v>1827</v>
      </c>
      <c r="N247" s="65" t="s">
        <v>196</v>
      </c>
      <c r="O247" s="65" t="s">
        <v>196</v>
      </c>
      <c r="P247" s="65" t="s">
        <v>196</v>
      </c>
      <c r="Q247" s="65" t="s">
        <v>196</v>
      </c>
      <c r="R247" s="65" t="s">
        <v>196</v>
      </c>
      <c r="S247" s="65" t="s">
        <v>196</v>
      </c>
      <c r="T247" s="65" t="s">
        <v>196</v>
      </c>
      <c r="U247" s="65" t="s">
        <v>196</v>
      </c>
      <c r="V247" s="65" t="s">
        <v>179</v>
      </c>
      <c r="W247" s="65" t="s">
        <v>598</v>
      </c>
      <c r="X247" s="65" t="s">
        <v>1047</v>
      </c>
      <c r="Y247" s="65"/>
      <c r="Z247" s="65"/>
      <c r="AA247" s="65"/>
      <c r="AB247" s="65"/>
      <c r="AC247" s="65"/>
      <c r="AD247" s="89">
        <v>1</v>
      </c>
      <c r="AE247" s="89"/>
      <c r="AF247" s="84"/>
      <c r="AG247" s="65" t="s">
        <v>196</v>
      </c>
      <c r="AH247" s="65" t="s">
        <v>196</v>
      </c>
      <c r="AI247" s="144"/>
    </row>
    <row r="248" spans="1:35" ht="66.75" customHeight="1" x14ac:dyDescent="0.2">
      <c r="A248" s="83">
        <v>246</v>
      </c>
      <c r="B248" s="66" t="s">
        <v>742</v>
      </c>
      <c r="C248" s="67" t="s">
        <v>109</v>
      </c>
      <c r="D248" s="68">
        <v>46148</v>
      </c>
      <c r="E248" s="65" t="s">
        <v>743</v>
      </c>
      <c r="F248" s="36" t="s">
        <v>571</v>
      </c>
      <c r="G248" s="83" t="s">
        <v>744</v>
      </c>
      <c r="H248" s="65" t="s">
        <v>168</v>
      </c>
      <c r="I248" s="65" t="s">
        <v>198</v>
      </c>
      <c r="J248" s="68">
        <v>46148</v>
      </c>
      <c r="K248" s="62" t="s">
        <v>2</v>
      </c>
      <c r="L248" s="65" t="s">
        <v>196</v>
      </c>
      <c r="M248" s="65" t="s">
        <v>1024</v>
      </c>
      <c r="N248" s="65" t="s">
        <v>196</v>
      </c>
      <c r="O248" s="65" t="s">
        <v>196</v>
      </c>
      <c r="P248" s="65" t="s">
        <v>196</v>
      </c>
      <c r="Q248" s="65" t="s">
        <v>196</v>
      </c>
      <c r="R248" s="65" t="s">
        <v>196</v>
      </c>
      <c r="S248" s="65" t="s">
        <v>196</v>
      </c>
      <c r="T248" s="65" t="s">
        <v>196</v>
      </c>
      <c r="U248" s="65" t="s">
        <v>196</v>
      </c>
      <c r="V248" s="65" t="s">
        <v>175</v>
      </c>
      <c r="W248" s="65" t="s">
        <v>598</v>
      </c>
      <c r="X248" s="65" t="s">
        <v>1047</v>
      </c>
      <c r="Y248" s="65"/>
      <c r="Z248" s="65"/>
      <c r="AA248" s="65"/>
      <c r="AB248" s="83"/>
      <c r="AC248" s="83"/>
      <c r="AD248" s="62">
        <v>0</v>
      </c>
      <c r="AE248" s="62">
        <f>AF248/4</f>
        <v>0</v>
      </c>
      <c r="AF248" s="69">
        <v>0</v>
      </c>
      <c r="AG248" s="65" t="s">
        <v>196</v>
      </c>
      <c r="AH248" s="65" t="s">
        <v>196</v>
      </c>
      <c r="AI248" s="144"/>
    </row>
    <row r="249" spans="1:35" ht="66.75" customHeight="1" x14ac:dyDescent="0.2">
      <c r="A249" s="83">
        <v>247</v>
      </c>
      <c r="B249" s="66" t="s">
        <v>1433</v>
      </c>
      <c r="C249" s="133" t="s">
        <v>111</v>
      </c>
      <c r="D249" s="129">
        <v>46218</v>
      </c>
      <c r="E249" s="65" t="s">
        <v>211</v>
      </c>
      <c r="F249" s="134" t="s">
        <v>1056</v>
      </c>
      <c r="G249" s="83" t="s">
        <v>1439</v>
      </c>
      <c r="H249" s="65" t="s">
        <v>4</v>
      </c>
      <c r="I249" s="135" t="s">
        <v>202</v>
      </c>
      <c r="J249" s="68">
        <v>46218</v>
      </c>
      <c r="K249" s="136" t="s">
        <v>2</v>
      </c>
      <c r="L249" s="65" t="s">
        <v>196</v>
      </c>
      <c r="M249" s="128" t="s">
        <v>1493</v>
      </c>
      <c r="N249" s="65" t="s">
        <v>196</v>
      </c>
      <c r="O249" s="65" t="s">
        <v>196</v>
      </c>
      <c r="P249" s="65" t="s">
        <v>196</v>
      </c>
      <c r="Q249" s="65" t="s">
        <v>196</v>
      </c>
      <c r="R249" s="137" t="s">
        <v>196</v>
      </c>
      <c r="S249" s="65" t="s">
        <v>196</v>
      </c>
      <c r="T249" s="65" t="s">
        <v>196</v>
      </c>
      <c r="U249" s="65" t="s">
        <v>196</v>
      </c>
      <c r="V249" s="65" t="s">
        <v>178</v>
      </c>
      <c r="W249" s="128" t="s">
        <v>598</v>
      </c>
      <c r="X249" s="65" t="s">
        <v>1047</v>
      </c>
      <c r="Y249" s="65"/>
      <c r="Z249" s="65"/>
      <c r="AA249" s="137"/>
      <c r="AB249" s="65"/>
      <c r="AC249" s="65"/>
      <c r="AD249" s="89">
        <v>1</v>
      </c>
      <c r="AE249" s="89">
        <v>1</v>
      </c>
      <c r="AF249" s="84">
        <v>0</v>
      </c>
      <c r="AG249" s="128" t="s">
        <v>196</v>
      </c>
      <c r="AH249" s="65" t="s">
        <v>196</v>
      </c>
      <c r="AI249" s="143"/>
    </row>
    <row r="250" spans="1:35" ht="66.75" customHeight="1" x14ac:dyDescent="0.2">
      <c r="A250" s="83">
        <v>248</v>
      </c>
      <c r="B250" s="66" t="s">
        <v>424</v>
      </c>
      <c r="C250" s="133" t="s">
        <v>107</v>
      </c>
      <c r="D250" s="129">
        <v>46094</v>
      </c>
      <c r="E250" s="65" t="s">
        <v>425</v>
      </c>
      <c r="F250" s="134" t="s">
        <v>548</v>
      </c>
      <c r="G250" s="83" t="s">
        <v>427</v>
      </c>
      <c r="H250" s="65" t="s">
        <v>142</v>
      </c>
      <c r="I250" s="135" t="s">
        <v>198</v>
      </c>
      <c r="J250" s="68">
        <v>46100</v>
      </c>
      <c r="K250" s="136" t="s">
        <v>2</v>
      </c>
      <c r="L250" s="65" t="s">
        <v>906</v>
      </c>
      <c r="M250" s="128" t="s">
        <v>907</v>
      </c>
      <c r="N250" s="65" t="s">
        <v>196</v>
      </c>
      <c r="O250" s="65" t="s">
        <v>196</v>
      </c>
      <c r="P250" s="65" t="s">
        <v>196</v>
      </c>
      <c r="Q250" s="65" t="s">
        <v>196</v>
      </c>
      <c r="R250" s="137" t="s">
        <v>196</v>
      </c>
      <c r="S250" s="65" t="s">
        <v>196</v>
      </c>
      <c r="T250" s="65" t="s">
        <v>196</v>
      </c>
      <c r="U250" s="65" t="s">
        <v>196</v>
      </c>
      <c r="V250" s="65" t="s">
        <v>173</v>
      </c>
      <c r="W250" s="128" t="s">
        <v>599</v>
      </c>
      <c r="X250" s="98" t="s">
        <v>1039</v>
      </c>
      <c r="Y250" s="98" t="s">
        <v>68</v>
      </c>
      <c r="Z250" s="65" t="s">
        <v>426</v>
      </c>
      <c r="AA250" s="137" t="s">
        <v>188</v>
      </c>
      <c r="AB250" s="65">
        <v>7751462045</v>
      </c>
      <c r="AC250" s="65"/>
      <c r="AD250" s="62">
        <v>1</v>
      </c>
      <c r="AE250" s="62">
        <f>AF250/4</f>
        <v>25</v>
      </c>
      <c r="AF250" s="69">
        <v>100</v>
      </c>
      <c r="AG250" s="130" t="s">
        <v>132</v>
      </c>
      <c r="AH250" s="65" t="s">
        <v>835</v>
      </c>
      <c r="AI250" s="143"/>
    </row>
    <row r="251" spans="1:35" ht="66.75" customHeight="1" x14ac:dyDescent="0.2">
      <c r="A251" s="83">
        <v>249</v>
      </c>
      <c r="B251" s="66" t="s">
        <v>1432</v>
      </c>
      <c r="C251" s="67" t="s">
        <v>111</v>
      </c>
      <c r="D251" s="68">
        <v>46217</v>
      </c>
      <c r="E251" s="65" t="s">
        <v>1435</v>
      </c>
      <c r="F251" s="36" t="s">
        <v>1436</v>
      </c>
      <c r="G251" s="83" t="s">
        <v>1437</v>
      </c>
      <c r="H251" s="65" t="s">
        <v>4</v>
      </c>
      <c r="I251" s="65" t="s">
        <v>195</v>
      </c>
      <c r="J251" s="68">
        <v>46217</v>
      </c>
      <c r="K251" s="62" t="s">
        <v>2</v>
      </c>
      <c r="L251" s="65" t="s">
        <v>196</v>
      </c>
      <c r="M251" s="65" t="s">
        <v>1438</v>
      </c>
      <c r="N251" s="65" t="s">
        <v>196</v>
      </c>
      <c r="O251" s="65" t="s">
        <v>196</v>
      </c>
      <c r="P251" s="65" t="s">
        <v>196</v>
      </c>
      <c r="Q251" s="65" t="s">
        <v>196</v>
      </c>
      <c r="R251" s="65" t="s">
        <v>196</v>
      </c>
      <c r="S251" s="65" t="s">
        <v>196</v>
      </c>
      <c r="T251" s="65" t="s">
        <v>196</v>
      </c>
      <c r="U251" s="65" t="s">
        <v>196</v>
      </c>
      <c r="V251" s="65" t="s">
        <v>175</v>
      </c>
      <c r="W251" s="65" t="s">
        <v>598</v>
      </c>
      <c r="X251" s="65" t="s">
        <v>1047</v>
      </c>
      <c r="Y251" s="65"/>
      <c r="Z251" s="65"/>
      <c r="AA251" s="65"/>
      <c r="AB251" s="65"/>
      <c r="AC251" s="65"/>
      <c r="AD251" s="89">
        <v>1</v>
      </c>
      <c r="AE251" s="89">
        <v>1</v>
      </c>
      <c r="AF251" s="84">
        <v>0</v>
      </c>
      <c r="AG251" s="65" t="s">
        <v>196</v>
      </c>
      <c r="AH251" s="65" t="s">
        <v>196</v>
      </c>
      <c r="AI251" s="144"/>
    </row>
    <row r="252" spans="1:35" ht="66.75" customHeight="1" x14ac:dyDescent="0.2">
      <c r="A252" s="83">
        <v>250</v>
      </c>
      <c r="B252" s="66" t="s">
        <v>1694</v>
      </c>
      <c r="C252" s="133" t="s">
        <v>112</v>
      </c>
      <c r="D252" s="129">
        <v>46253</v>
      </c>
      <c r="E252" s="65" t="s">
        <v>1695</v>
      </c>
      <c r="F252" s="134" t="s">
        <v>1386</v>
      </c>
      <c r="G252" s="83" t="s">
        <v>1696</v>
      </c>
      <c r="H252" s="65" t="s">
        <v>140</v>
      </c>
      <c r="I252" s="135" t="s">
        <v>198</v>
      </c>
      <c r="J252" s="68">
        <v>46254</v>
      </c>
      <c r="K252" s="136" t="s">
        <v>2</v>
      </c>
      <c r="L252" s="65" t="s">
        <v>1234</v>
      </c>
      <c r="M252" s="128" t="s">
        <v>1438</v>
      </c>
      <c r="N252" s="65" t="s">
        <v>3</v>
      </c>
      <c r="O252" s="65" t="s">
        <v>196</v>
      </c>
      <c r="P252" s="65" t="s">
        <v>196</v>
      </c>
      <c r="Q252" s="65" t="s">
        <v>196</v>
      </c>
      <c r="R252" s="137" t="s">
        <v>196</v>
      </c>
      <c r="S252" s="65" t="s">
        <v>196</v>
      </c>
      <c r="T252" s="65" t="s">
        <v>196</v>
      </c>
      <c r="U252" s="65" t="s">
        <v>196</v>
      </c>
      <c r="V252" s="65" t="s">
        <v>176</v>
      </c>
      <c r="W252" s="128" t="s">
        <v>598</v>
      </c>
      <c r="X252" s="65" t="s">
        <v>1048</v>
      </c>
      <c r="Y252" s="65"/>
      <c r="Z252" s="65"/>
      <c r="AA252" s="137"/>
      <c r="AB252" s="65"/>
      <c r="AC252" s="65"/>
      <c r="AD252" s="89">
        <v>1</v>
      </c>
      <c r="AE252" s="89">
        <v>0</v>
      </c>
      <c r="AF252" s="84">
        <v>0</v>
      </c>
      <c r="AG252" s="128" t="s">
        <v>196</v>
      </c>
      <c r="AH252" s="65" t="s">
        <v>196</v>
      </c>
      <c r="AI252" s="143"/>
    </row>
    <row r="253" spans="1:35" ht="66.75" customHeight="1" x14ac:dyDescent="0.2">
      <c r="A253" s="83">
        <v>251</v>
      </c>
      <c r="B253" s="66" t="s">
        <v>1800</v>
      </c>
      <c r="C253" s="67" t="s">
        <v>112</v>
      </c>
      <c r="D253" s="68">
        <v>46265</v>
      </c>
      <c r="E253" s="65" t="s">
        <v>1804</v>
      </c>
      <c r="F253" s="36" t="s">
        <v>1386</v>
      </c>
      <c r="G253" s="83" t="s">
        <v>1805</v>
      </c>
      <c r="H253" s="65" t="s">
        <v>140</v>
      </c>
      <c r="I253" s="65" t="s">
        <v>195</v>
      </c>
      <c r="J253" s="68">
        <v>46265</v>
      </c>
      <c r="K253" s="62" t="s">
        <v>2</v>
      </c>
      <c r="L253" s="65" t="s">
        <v>196</v>
      </c>
      <c r="M253" s="65" t="s">
        <v>1806</v>
      </c>
      <c r="N253" s="65" t="s">
        <v>196</v>
      </c>
      <c r="O253" s="65" t="s">
        <v>196</v>
      </c>
      <c r="P253" s="65" t="s">
        <v>196</v>
      </c>
      <c r="Q253" s="65" t="s">
        <v>196</v>
      </c>
      <c r="R253" s="65" t="s">
        <v>196</v>
      </c>
      <c r="S253" s="65" t="s">
        <v>196</v>
      </c>
      <c r="T253" s="65" t="s">
        <v>196</v>
      </c>
      <c r="U253" s="65" t="s">
        <v>196</v>
      </c>
      <c r="V253" s="65" t="s">
        <v>174</v>
      </c>
      <c r="W253" s="65" t="s">
        <v>598</v>
      </c>
      <c r="X253" s="65" t="s">
        <v>1047</v>
      </c>
      <c r="Y253" s="65"/>
      <c r="Z253" s="65"/>
      <c r="AA253" s="65"/>
      <c r="AB253" s="65"/>
      <c r="AC253" s="65"/>
      <c r="AD253" s="89">
        <v>1</v>
      </c>
      <c r="AE253" s="89"/>
      <c r="AF253" s="84"/>
      <c r="AG253" s="65" t="s">
        <v>196</v>
      </c>
      <c r="AH253" s="65" t="s">
        <v>196</v>
      </c>
      <c r="AI253" s="144"/>
    </row>
    <row r="254" spans="1:35" ht="66.75" customHeight="1" x14ac:dyDescent="0.2">
      <c r="A254" s="83">
        <v>252</v>
      </c>
      <c r="B254" s="66" t="s">
        <v>327</v>
      </c>
      <c r="C254" s="67" t="s">
        <v>106</v>
      </c>
      <c r="D254" s="68">
        <v>46079</v>
      </c>
      <c r="E254" s="65" t="s">
        <v>328</v>
      </c>
      <c r="F254" s="36" t="s">
        <v>574</v>
      </c>
      <c r="G254" s="83" t="s">
        <v>329</v>
      </c>
      <c r="H254" s="65" t="s">
        <v>142</v>
      </c>
      <c r="I254" s="65" t="s">
        <v>198</v>
      </c>
      <c r="J254" s="68">
        <v>46079</v>
      </c>
      <c r="K254" s="62" t="s">
        <v>2</v>
      </c>
      <c r="L254" s="65" t="s">
        <v>196</v>
      </c>
      <c r="M254" s="65" t="s">
        <v>330</v>
      </c>
      <c r="N254" s="65" t="s">
        <v>196</v>
      </c>
      <c r="O254" s="65" t="s">
        <v>196</v>
      </c>
      <c r="P254" s="65" t="s">
        <v>196</v>
      </c>
      <c r="Q254" s="65" t="s">
        <v>196</v>
      </c>
      <c r="R254" s="65" t="s">
        <v>196</v>
      </c>
      <c r="S254" s="65" t="s">
        <v>196</v>
      </c>
      <c r="T254" s="65" t="s">
        <v>196</v>
      </c>
      <c r="U254" s="65" t="s">
        <v>196</v>
      </c>
      <c r="V254" s="65" t="s">
        <v>176</v>
      </c>
      <c r="W254" s="65" t="s">
        <v>852</v>
      </c>
      <c r="X254" s="65" t="s">
        <v>1048</v>
      </c>
      <c r="Y254" s="65"/>
      <c r="Z254" s="65"/>
      <c r="AA254" s="65"/>
      <c r="AB254" s="65"/>
      <c r="AC254" s="65"/>
      <c r="AD254" s="62">
        <v>0</v>
      </c>
      <c r="AE254" s="62">
        <f>AF254/4</f>
        <v>0</v>
      </c>
      <c r="AF254" s="69">
        <v>0</v>
      </c>
      <c r="AG254" s="65" t="s">
        <v>196</v>
      </c>
      <c r="AH254" s="65" t="s">
        <v>196</v>
      </c>
      <c r="AI254" s="144"/>
    </row>
    <row r="255" spans="1:35" ht="66.75" customHeight="1" x14ac:dyDescent="0.2">
      <c r="A255" s="83">
        <v>253</v>
      </c>
      <c r="B255" s="66" t="s">
        <v>699</v>
      </c>
      <c r="C255" s="67" t="s">
        <v>108</v>
      </c>
      <c r="D255" s="68">
        <v>46141</v>
      </c>
      <c r="E255" s="65" t="s">
        <v>700</v>
      </c>
      <c r="F255" s="88" t="s">
        <v>1063</v>
      </c>
      <c r="G255" s="83" t="s">
        <v>701</v>
      </c>
      <c r="H255" s="65" t="s">
        <v>142</v>
      </c>
      <c r="I255" s="65" t="s">
        <v>198</v>
      </c>
      <c r="J255" s="68">
        <v>46141</v>
      </c>
      <c r="K255" s="62" t="s">
        <v>2</v>
      </c>
      <c r="L255" s="65" t="s">
        <v>196</v>
      </c>
      <c r="M255" s="65" t="s">
        <v>1064</v>
      </c>
      <c r="N255" s="65" t="s">
        <v>196</v>
      </c>
      <c r="O255" s="65" t="s">
        <v>196</v>
      </c>
      <c r="P255" s="65" t="s">
        <v>196</v>
      </c>
      <c r="Q255" s="65" t="s">
        <v>196</v>
      </c>
      <c r="R255" s="65" t="s">
        <v>196</v>
      </c>
      <c r="S255" s="65" t="s">
        <v>196</v>
      </c>
      <c r="T255" s="65" t="s">
        <v>196</v>
      </c>
      <c r="U255" s="65" t="s">
        <v>196</v>
      </c>
      <c r="V255" s="65" t="s">
        <v>176</v>
      </c>
      <c r="W255" s="65" t="s">
        <v>852</v>
      </c>
      <c r="X255" s="65" t="s">
        <v>1048</v>
      </c>
      <c r="Y255" s="65"/>
      <c r="Z255" s="65"/>
      <c r="AA255" s="65"/>
      <c r="AB255" s="83"/>
      <c r="AC255" s="83"/>
      <c r="AD255" s="62">
        <v>0</v>
      </c>
      <c r="AE255" s="62">
        <f>AF255/4</f>
        <v>0</v>
      </c>
      <c r="AF255" s="69">
        <v>0</v>
      </c>
      <c r="AG255" s="65" t="s">
        <v>196</v>
      </c>
      <c r="AH255" s="65" t="s">
        <v>196</v>
      </c>
      <c r="AI255" s="144"/>
    </row>
    <row r="256" spans="1:35" ht="66.75" customHeight="1" x14ac:dyDescent="0.2">
      <c r="A256" s="83">
        <v>254</v>
      </c>
      <c r="B256" s="66" t="s">
        <v>428</v>
      </c>
      <c r="C256" s="67" t="s">
        <v>107</v>
      </c>
      <c r="D256" s="68">
        <v>46094</v>
      </c>
      <c r="E256" s="65" t="s">
        <v>429</v>
      </c>
      <c r="F256" s="36" t="s">
        <v>571</v>
      </c>
      <c r="G256" s="83" t="s">
        <v>430</v>
      </c>
      <c r="H256" s="65" t="s">
        <v>168</v>
      </c>
      <c r="I256" s="65" t="s">
        <v>198</v>
      </c>
      <c r="J256" s="68">
        <v>46100</v>
      </c>
      <c r="K256" s="62" t="s">
        <v>2</v>
      </c>
      <c r="L256" s="65" t="s">
        <v>196</v>
      </c>
      <c r="M256" s="65" t="s">
        <v>806</v>
      </c>
      <c r="N256" s="65" t="s">
        <v>196</v>
      </c>
      <c r="O256" s="65" t="s">
        <v>196</v>
      </c>
      <c r="P256" s="65" t="s">
        <v>196</v>
      </c>
      <c r="Q256" s="65" t="s">
        <v>196</v>
      </c>
      <c r="R256" s="65" t="s">
        <v>196</v>
      </c>
      <c r="S256" s="65" t="s">
        <v>196</v>
      </c>
      <c r="T256" s="65" t="s">
        <v>196</v>
      </c>
      <c r="U256" s="65" t="s">
        <v>196</v>
      </c>
      <c r="V256" s="65" t="s">
        <v>175</v>
      </c>
      <c r="W256" s="65" t="s">
        <v>598</v>
      </c>
      <c r="X256" s="65" t="s">
        <v>1047</v>
      </c>
      <c r="Y256" s="65"/>
      <c r="Z256" s="65"/>
      <c r="AA256" s="65" t="s">
        <v>188</v>
      </c>
      <c r="AB256" s="65"/>
      <c r="AC256" s="65"/>
      <c r="AD256" s="62">
        <v>1</v>
      </c>
      <c r="AE256" s="62">
        <v>1</v>
      </c>
      <c r="AF256" s="69">
        <v>0</v>
      </c>
      <c r="AG256" s="65" t="s">
        <v>196</v>
      </c>
      <c r="AH256" s="65" t="s">
        <v>196</v>
      </c>
      <c r="AI256" s="144"/>
    </row>
    <row r="257" spans="1:35" ht="66.75" customHeight="1" x14ac:dyDescent="0.2">
      <c r="A257" s="83">
        <v>255</v>
      </c>
      <c r="B257" s="66" t="s">
        <v>364</v>
      </c>
      <c r="C257" s="67" t="s">
        <v>107</v>
      </c>
      <c r="D257" s="68">
        <v>46083</v>
      </c>
      <c r="E257" s="65" t="s">
        <v>366</v>
      </c>
      <c r="F257" s="36" t="s">
        <v>473</v>
      </c>
      <c r="G257" s="83" t="s">
        <v>369</v>
      </c>
      <c r="H257" s="65" t="s">
        <v>148</v>
      </c>
      <c r="I257" s="65" t="s">
        <v>202</v>
      </c>
      <c r="J257" s="68">
        <v>46083</v>
      </c>
      <c r="K257" s="62" t="s">
        <v>2</v>
      </c>
      <c r="L257" s="65" t="s">
        <v>196</v>
      </c>
      <c r="M257" s="65" t="s">
        <v>434</v>
      </c>
      <c r="N257" s="65" t="s">
        <v>196</v>
      </c>
      <c r="O257" s="65" t="s">
        <v>196</v>
      </c>
      <c r="P257" s="65" t="s">
        <v>196</v>
      </c>
      <c r="Q257" s="65" t="s">
        <v>196</v>
      </c>
      <c r="R257" s="65" t="s">
        <v>196</v>
      </c>
      <c r="S257" s="65" t="s">
        <v>196</v>
      </c>
      <c r="T257" s="65" t="s">
        <v>196</v>
      </c>
      <c r="U257" s="65" t="s">
        <v>196</v>
      </c>
      <c r="V257" s="65" t="s">
        <v>176</v>
      </c>
      <c r="W257" s="65" t="s">
        <v>598</v>
      </c>
      <c r="X257" s="65" t="s">
        <v>1047</v>
      </c>
      <c r="Y257" s="65"/>
      <c r="Z257" s="65"/>
      <c r="AA257" s="65" t="s">
        <v>188</v>
      </c>
      <c r="AB257" s="65" t="s">
        <v>367</v>
      </c>
      <c r="AC257" s="65" t="s">
        <v>368</v>
      </c>
      <c r="AD257" s="62">
        <v>1</v>
      </c>
      <c r="AE257" s="62">
        <v>1</v>
      </c>
      <c r="AF257" s="69">
        <v>0</v>
      </c>
      <c r="AG257" s="65" t="s">
        <v>196</v>
      </c>
      <c r="AH257" s="65" t="s">
        <v>196</v>
      </c>
      <c r="AI257" s="144"/>
    </row>
    <row r="258" spans="1:35" ht="66.75" customHeight="1" x14ac:dyDescent="0.2">
      <c r="A258" s="83">
        <v>256</v>
      </c>
      <c r="B258" s="66" t="s">
        <v>1195</v>
      </c>
      <c r="C258" s="133" t="s">
        <v>110</v>
      </c>
      <c r="D258" s="129">
        <v>46182</v>
      </c>
      <c r="E258" s="65" t="s">
        <v>211</v>
      </c>
      <c r="F258" s="134" t="s">
        <v>548</v>
      </c>
      <c r="G258" s="83" t="s">
        <v>1196</v>
      </c>
      <c r="H258" s="65" t="s">
        <v>168</v>
      </c>
      <c r="I258" s="135" t="s">
        <v>198</v>
      </c>
      <c r="J258" s="68">
        <v>46182</v>
      </c>
      <c r="K258" s="136" t="s">
        <v>2</v>
      </c>
      <c r="L258" s="62" t="s">
        <v>196</v>
      </c>
      <c r="M258" s="128" t="s">
        <v>1494</v>
      </c>
      <c r="N258" s="65" t="s">
        <v>196</v>
      </c>
      <c r="O258" s="65" t="s">
        <v>196</v>
      </c>
      <c r="P258" s="65" t="s">
        <v>196</v>
      </c>
      <c r="Q258" s="65" t="s">
        <v>196</v>
      </c>
      <c r="R258" s="137" t="s">
        <v>196</v>
      </c>
      <c r="S258" s="65" t="s">
        <v>196</v>
      </c>
      <c r="T258" s="65" t="s">
        <v>196</v>
      </c>
      <c r="U258" s="65" t="s">
        <v>196</v>
      </c>
      <c r="V258" s="65" t="s">
        <v>173</v>
      </c>
      <c r="W258" s="128" t="s">
        <v>598</v>
      </c>
      <c r="X258" s="98" t="s">
        <v>1040</v>
      </c>
      <c r="Y258" s="98" t="s">
        <v>32</v>
      </c>
      <c r="Z258" s="65"/>
      <c r="AA258" s="137"/>
      <c r="AB258" s="65"/>
      <c r="AC258" s="65"/>
      <c r="AD258" s="62"/>
      <c r="AE258" s="62"/>
      <c r="AF258" s="81"/>
      <c r="AG258" s="130" t="s">
        <v>134</v>
      </c>
      <c r="AH258" s="65" t="s">
        <v>840</v>
      </c>
      <c r="AI258" s="143"/>
    </row>
    <row r="259" spans="1:35" ht="66.75" customHeight="1" x14ac:dyDescent="0.2">
      <c r="A259" s="83">
        <v>257</v>
      </c>
      <c r="B259" s="66" t="s">
        <v>1322</v>
      </c>
      <c r="C259" s="133" t="s">
        <v>110</v>
      </c>
      <c r="D259" s="129">
        <v>46197</v>
      </c>
      <c r="E259" s="65" t="s">
        <v>1331</v>
      </c>
      <c r="F259" s="134" t="s">
        <v>548</v>
      </c>
      <c r="G259" s="83" t="s">
        <v>1333</v>
      </c>
      <c r="H259" s="65" t="s">
        <v>168</v>
      </c>
      <c r="I259" s="135" t="s">
        <v>198</v>
      </c>
      <c r="J259" s="68">
        <v>46197</v>
      </c>
      <c r="K259" s="136" t="s">
        <v>2</v>
      </c>
      <c r="L259" s="65" t="s">
        <v>1330</v>
      </c>
      <c r="M259" s="128" t="s">
        <v>1499</v>
      </c>
      <c r="N259" s="65" t="s">
        <v>196</v>
      </c>
      <c r="O259" s="65" t="s">
        <v>196</v>
      </c>
      <c r="P259" s="65" t="s">
        <v>196</v>
      </c>
      <c r="Q259" s="65" t="s">
        <v>196</v>
      </c>
      <c r="R259" s="137"/>
      <c r="S259" s="65"/>
      <c r="T259" s="65"/>
      <c r="U259" s="65"/>
      <c r="V259" s="65" t="s">
        <v>174</v>
      </c>
      <c r="W259" s="128" t="s">
        <v>599</v>
      </c>
      <c r="X259" s="98" t="s">
        <v>166</v>
      </c>
      <c r="Y259" s="98" t="s">
        <v>62</v>
      </c>
      <c r="Z259" s="65" t="s">
        <v>1332</v>
      </c>
      <c r="AA259" s="137" t="s">
        <v>188</v>
      </c>
      <c r="AB259" s="65"/>
      <c r="AC259" s="65"/>
      <c r="AD259" s="62">
        <v>1</v>
      </c>
      <c r="AE259" s="100"/>
      <c r="AF259" s="81"/>
      <c r="AG259" s="130" t="s">
        <v>132</v>
      </c>
      <c r="AH259" s="65" t="s">
        <v>822</v>
      </c>
      <c r="AI259" s="143"/>
    </row>
    <row r="260" spans="1:35" ht="66.75" customHeight="1" x14ac:dyDescent="0.2">
      <c r="A260" s="83">
        <v>258</v>
      </c>
      <c r="B260" s="66" t="s">
        <v>1336</v>
      </c>
      <c r="C260" s="67" t="s">
        <v>110</v>
      </c>
      <c r="D260" s="68">
        <v>46198</v>
      </c>
      <c r="E260" s="65" t="s">
        <v>1338</v>
      </c>
      <c r="F260" s="36" t="s">
        <v>548</v>
      </c>
      <c r="G260" s="83" t="s">
        <v>1340</v>
      </c>
      <c r="H260" s="65" t="s">
        <v>168</v>
      </c>
      <c r="I260" s="65" t="s">
        <v>198</v>
      </c>
      <c r="J260" s="68">
        <v>46198</v>
      </c>
      <c r="K260" s="62" t="s">
        <v>2</v>
      </c>
      <c r="L260" s="65" t="s">
        <v>1341</v>
      </c>
      <c r="M260" s="65" t="s">
        <v>1498</v>
      </c>
      <c r="N260" s="65" t="s">
        <v>2</v>
      </c>
      <c r="O260" s="65" t="s">
        <v>1678</v>
      </c>
      <c r="P260" s="65" t="s">
        <v>2</v>
      </c>
      <c r="Q260" s="65" t="s">
        <v>1841</v>
      </c>
      <c r="R260" s="65"/>
      <c r="S260" s="65"/>
      <c r="T260" s="65"/>
      <c r="U260" s="65"/>
      <c r="V260" s="65" t="s">
        <v>174</v>
      </c>
      <c r="W260" s="65" t="s">
        <v>599</v>
      </c>
      <c r="X260" s="98" t="s">
        <v>166</v>
      </c>
      <c r="Y260" s="98" t="s">
        <v>62</v>
      </c>
      <c r="Z260" s="65" t="s">
        <v>1339</v>
      </c>
      <c r="AA260" s="65" t="s">
        <v>188</v>
      </c>
      <c r="AB260" s="65"/>
      <c r="AC260" s="65"/>
      <c r="AD260" s="62">
        <v>1</v>
      </c>
      <c r="AE260" s="100"/>
      <c r="AF260" s="81"/>
      <c r="AG260" s="62" t="s">
        <v>132</v>
      </c>
      <c r="AH260" s="65" t="s">
        <v>822</v>
      </c>
      <c r="AI260" s="144"/>
    </row>
    <row r="261" spans="1:35" ht="66.75" customHeight="1" x14ac:dyDescent="0.2">
      <c r="A261" s="83">
        <v>259</v>
      </c>
      <c r="B261" s="66" t="s">
        <v>1320</v>
      </c>
      <c r="C261" s="133" t="s">
        <v>110</v>
      </c>
      <c r="D261" s="129">
        <v>46197</v>
      </c>
      <c r="E261" s="65" t="s">
        <v>1324</v>
      </c>
      <c r="F261" s="134" t="s">
        <v>548</v>
      </c>
      <c r="G261" s="83" t="s">
        <v>1326</v>
      </c>
      <c r="H261" s="65" t="s">
        <v>168</v>
      </c>
      <c r="I261" s="135" t="s">
        <v>198</v>
      </c>
      <c r="J261" s="68">
        <v>46197</v>
      </c>
      <c r="K261" s="136" t="s">
        <v>2</v>
      </c>
      <c r="L261" s="65" t="s">
        <v>1323</v>
      </c>
      <c r="M261" s="128" t="s">
        <v>1497</v>
      </c>
      <c r="N261" s="65" t="s">
        <v>2</v>
      </c>
      <c r="O261" s="65" t="s">
        <v>1837</v>
      </c>
      <c r="P261" s="65" t="s">
        <v>2</v>
      </c>
      <c r="Q261" s="65" t="s">
        <v>1836</v>
      </c>
      <c r="R261" s="137"/>
      <c r="S261" s="65"/>
      <c r="T261" s="65"/>
      <c r="U261" s="65"/>
      <c r="V261" s="65" t="s">
        <v>174</v>
      </c>
      <c r="W261" s="128" t="s">
        <v>599</v>
      </c>
      <c r="X261" s="98" t="s">
        <v>1043</v>
      </c>
      <c r="Y261" s="98" t="s">
        <v>62</v>
      </c>
      <c r="Z261" s="65" t="s">
        <v>1325</v>
      </c>
      <c r="AA261" s="137" t="s">
        <v>188</v>
      </c>
      <c r="AB261" s="65"/>
      <c r="AC261" s="65"/>
      <c r="AD261" s="62">
        <v>1</v>
      </c>
      <c r="AE261" s="100"/>
      <c r="AF261" s="81"/>
      <c r="AG261" s="130" t="s">
        <v>132</v>
      </c>
      <c r="AH261" s="65" t="s">
        <v>822</v>
      </c>
      <c r="AI261" s="143"/>
    </row>
    <row r="262" spans="1:35" ht="66.75" customHeight="1" x14ac:dyDescent="0.2">
      <c r="A262" s="83">
        <v>260</v>
      </c>
      <c r="B262" s="105" t="s">
        <v>1337</v>
      </c>
      <c r="C262" s="110" t="s">
        <v>110</v>
      </c>
      <c r="D262" s="108">
        <v>46198</v>
      </c>
      <c r="E262" s="106" t="s">
        <v>1342</v>
      </c>
      <c r="F262" s="116" t="s">
        <v>548</v>
      </c>
      <c r="G262" s="107" t="s">
        <v>1344</v>
      </c>
      <c r="H262" s="106" t="s">
        <v>168</v>
      </c>
      <c r="I262" s="106" t="s">
        <v>198</v>
      </c>
      <c r="J262" s="108">
        <v>46198</v>
      </c>
      <c r="K262" s="109" t="s">
        <v>2</v>
      </c>
      <c r="L262" s="106" t="s">
        <v>1345</v>
      </c>
      <c r="M262" s="106" t="s">
        <v>1495</v>
      </c>
      <c r="N262" s="106" t="s">
        <v>196</v>
      </c>
      <c r="O262" s="106" t="s">
        <v>196</v>
      </c>
      <c r="P262" s="106" t="s">
        <v>196</v>
      </c>
      <c r="Q262" s="106" t="s">
        <v>196</v>
      </c>
      <c r="R262" s="106"/>
      <c r="S262" s="106"/>
      <c r="T262" s="106"/>
      <c r="U262" s="106"/>
      <c r="V262" s="106" t="s">
        <v>173</v>
      </c>
      <c r="W262" s="106" t="s">
        <v>599</v>
      </c>
      <c r="X262" s="141" t="s">
        <v>1040</v>
      </c>
      <c r="Y262" s="141" t="s">
        <v>22</v>
      </c>
      <c r="Z262" s="106" t="s">
        <v>1343</v>
      </c>
      <c r="AA262" s="106" t="s">
        <v>188</v>
      </c>
      <c r="AB262" s="106"/>
      <c r="AC262" s="106"/>
      <c r="AD262" s="109">
        <v>1</v>
      </c>
      <c r="AE262" s="139"/>
      <c r="AF262" s="140"/>
      <c r="AG262" s="109" t="s">
        <v>133</v>
      </c>
      <c r="AH262" s="106" t="s">
        <v>819</v>
      </c>
      <c r="AI262" s="144"/>
    </row>
    <row r="263" spans="1:35" s="123" customFormat="1" ht="66.75" customHeight="1" x14ac:dyDescent="0.2">
      <c r="A263" s="83">
        <v>261</v>
      </c>
      <c r="B263" s="66" t="s">
        <v>1321</v>
      </c>
      <c r="C263" s="67" t="s">
        <v>110</v>
      </c>
      <c r="D263" s="68">
        <v>46197</v>
      </c>
      <c r="E263" s="65" t="s">
        <v>1327</v>
      </c>
      <c r="F263" s="36" t="s">
        <v>548</v>
      </c>
      <c r="G263" s="83" t="s">
        <v>1328</v>
      </c>
      <c r="H263" s="65" t="s">
        <v>168</v>
      </c>
      <c r="I263" s="65" t="s">
        <v>198</v>
      </c>
      <c r="J263" s="68">
        <v>46197</v>
      </c>
      <c r="K263" s="62" t="s">
        <v>2</v>
      </c>
      <c r="L263" s="65" t="s">
        <v>1329</v>
      </c>
      <c r="M263" s="65" t="s">
        <v>1496</v>
      </c>
      <c r="N263" s="65" t="s">
        <v>196</v>
      </c>
      <c r="O263" s="65" t="s">
        <v>196</v>
      </c>
      <c r="P263" s="65" t="s">
        <v>196</v>
      </c>
      <c r="Q263" s="65" t="s">
        <v>196</v>
      </c>
      <c r="R263" s="65"/>
      <c r="S263" s="65"/>
      <c r="T263" s="65"/>
      <c r="U263" s="65"/>
      <c r="V263" s="65" t="s">
        <v>173</v>
      </c>
      <c r="W263" s="65" t="s">
        <v>599</v>
      </c>
      <c r="X263" s="98" t="s">
        <v>1040</v>
      </c>
      <c r="Y263" s="98" t="s">
        <v>62</v>
      </c>
      <c r="Z263" s="65"/>
      <c r="AA263" s="65" t="s">
        <v>188</v>
      </c>
      <c r="AB263" s="65"/>
      <c r="AC263" s="65"/>
      <c r="AD263" s="62">
        <v>1</v>
      </c>
      <c r="AE263" s="100"/>
      <c r="AF263" s="81"/>
      <c r="AG263" s="62" t="s">
        <v>132</v>
      </c>
      <c r="AH263" s="65" t="s">
        <v>822</v>
      </c>
      <c r="AI263" s="144"/>
    </row>
    <row r="264" spans="1:35" s="123" customFormat="1" ht="66.75" customHeight="1" x14ac:dyDescent="0.2">
      <c r="A264" s="83">
        <v>262</v>
      </c>
      <c r="B264" s="66" t="s">
        <v>324</v>
      </c>
      <c r="C264" s="67" t="s">
        <v>106</v>
      </c>
      <c r="D264" s="68">
        <v>46079</v>
      </c>
      <c r="E264" s="65" t="s">
        <v>325</v>
      </c>
      <c r="F264" s="36" t="s">
        <v>578</v>
      </c>
      <c r="G264" s="83" t="s">
        <v>326</v>
      </c>
      <c r="H264" s="65" t="s">
        <v>4</v>
      </c>
      <c r="I264" s="65" t="s">
        <v>202</v>
      </c>
      <c r="J264" s="68">
        <v>46079</v>
      </c>
      <c r="K264" s="62" t="s">
        <v>2</v>
      </c>
      <c r="L264" s="65" t="s">
        <v>871</v>
      </c>
      <c r="M264" s="65" t="s">
        <v>872</v>
      </c>
      <c r="N264" s="65" t="s">
        <v>196</v>
      </c>
      <c r="O264" s="65" t="s">
        <v>196</v>
      </c>
      <c r="P264" s="65" t="s">
        <v>196</v>
      </c>
      <c r="Q264" s="65" t="s">
        <v>196</v>
      </c>
      <c r="R264" s="65" t="s">
        <v>196</v>
      </c>
      <c r="S264" s="65" t="s">
        <v>196</v>
      </c>
      <c r="T264" s="65" t="s">
        <v>196</v>
      </c>
      <c r="U264" s="65" t="s">
        <v>196</v>
      </c>
      <c r="V264" s="65" t="s">
        <v>176</v>
      </c>
      <c r="W264" s="65" t="s">
        <v>852</v>
      </c>
      <c r="X264" s="65" t="s">
        <v>1048</v>
      </c>
      <c r="Y264" s="65"/>
      <c r="Z264" s="65" t="s">
        <v>579</v>
      </c>
      <c r="AA264" s="65" t="s">
        <v>188</v>
      </c>
      <c r="AB264" s="65" t="s">
        <v>580</v>
      </c>
      <c r="AC264" s="65"/>
      <c r="AD264" s="62">
        <v>1</v>
      </c>
      <c r="AE264" s="62">
        <v>1</v>
      </c>
      <c r="AF264" s="69">
        <v>0</v>
      </c>
      <c r="AG264" s="65" t="s">
        <v>196</v>
      </c>
      <c r="AH264" s="65" t="s">
        <v>196</v>
      </c>
      <c r="AI264" s="144"/>
    </row>
    <row r="265" spans="1:35" s="123" customFormat="1" ht="66.75" customHeight="1" x14ac:dyDescent="0.2">
      <c r="A265" s="83">
        <v>263</v>
      </c>
      <c r="B265" s="66" t="s">
        <v>637</v>
      </c>
      <c r="C265" s="67" t="s">
        <v>108</v>
      </c>
      <c r="D265" s="68">
        <v>46125</v>
      </c>
      <c r="E265" s="65" t="s">
        <v>646</v>
      </c>
      <c r="F265" s="36" t="s">
        <v>548</v>
      </c>
      <c r="G265" s="83" t="s">
        <v>648</v>
      </c>
      <c r="H265" s="65" t="s">
        <v>142</v>
      </c>
      <c r="I265" s="65" t="s">
        <v>198</v>
      </c>
      <c r="J265" s="68">
        <v>46125</v>
      </c>
      <c r="K265" s="62" t="s">
        <v>2</v>
      </c>
      <c r="L265" s="65" t="s">
        <v>998</v>
      </c>
      <c r="M265" s="65" t="s">
        <v>999</v>
      </c>
      <c r="N265" s="65" t="s">
        <v>196</v>
      </c>
      <c r="O265" s="65" t="s">
        <v>196</v>
      </c>
      <c r="P265" s="65" t="s">
        <v>196</v>
      </c>
      <c r="Q265" s="65" t="s">
        <v>196</v>
      </c>
      <c r="R265" s="65" t="s">
        <v>196</v>
      </c>
      <c r="S265" s="65" t="s">
        <v>196</v>
      </c>
      <c r="T265" s="65" t="s">
        <v>196</v>
      </c>
      <c r="U265" s="65" t="s">
        <v>196</v>
      </c>
      <c r="V265" s="65" t="s">
        <v>174</v>
      </c>
      <c r="W265" s="65" t="s">
        <v>599</v>
      </c>
      <c r="X265" s="98" t="s">
        <v>166</v>
      </c>
      <c r="Y265" s="98" t="s">
        <v>36</v>
      </c>
      <c r="Z265" s="65" t="s">
        <v>647</v>
      </c>
      <c r="AA265" s="65" t="s">
        <v>188</v>
      </c>
      <c r="AB265" s="65">
        <v>7731380177</v>
      </c>
      <c r="AC265" s="65"/>
      <c r="AD265" s="62">
        <v>1</v>
      </c>
      <c r="AE265" s="62">
        <f>AF265/4</f>
        <v>2</v>
      </c>
      <c r="AF265" s="84">
        <v>8</v>
      </c>
      <c r="AG265" s="62" t="s">
        <v>133</v>
      </c>
      <c r="AH265" s="65" t="s">
        <v>819</v>
      </c>
      <c r="AI265" s="144"/>
    </row>
    <row r="266" spans="1:35" s="123" customFormat="1" ht="66.75" customHeight="1" x14ac:dyDescent="0.2">
      <c r="A266" s="83">
        <v>264</v>
      </c>
      <c r="B266" s="66" t="s">
        <v>636</v>
      </c>
      <c r="C266" s="67" t="s">
        <v>108</v>
      </c>
      <c r="D266" s="68">
        <v>46125</v>
      </c>
      <c r="E266" s="65" t="s">
        <v>644</v>
      </c>
      <c r="F266" s="36" t="s">
        <v>548</v>
      </c>
      <c r="G266" s="83" t="s">
        <v>1076</v>
      </c>
      <c r="H266" s="65" t="s">
        <v>142</v>
      </c>
      <c r="I266" s="65" t="s">
        <v>198</v>
      </c>
      <c r="J266" s="68">
        <v>46125</v>
      </c>
      <c r="K266" s="62" t="s">
        <v>2</v>
      </c>
      <c r="L266" s="65" t="s">
        <v>995</v>
      </c>
      <c r="M266" s="82" t="s">
        <v>997</v>
      </c>
      <c r="N266" s="65" t="s">
        <v>2</v>
      </c>
      <c r="O266" s="65" t="s">
        <v>996</v>
      </c>
      <c r="P266" s="65" t="s">
        <v>3</v>
      </c>
      <c r="Q266" s="65" t="s">
        <v>196</v>
      </c>
      <c r="R266" s="65" t="s">
        <v>196</v>
      </c>
      <c r="S266" s="65" t="s">
        <v>196</v>
      </c>
      <c r="T266" s="65" t="s">
        <v>196</v>
      </c>
      <c r="U266" s="65" t="s">
        <v>196</v>
      </c>
      <c r="V266" s="65" t="s">
        <v>173</v>
      </c>
      <c r="W266" s="65" t="s">
        <v>599</v>
      </c>
      <c r="X266" s="98" t="s">
        <v>1039</v>
      </c>
      <c r="Y266" s="98" t="s">
        <v>36</v>
      </c>
      <c r="Z266" s="65" t="s">
        <v>645</v>
      </c>
      <c r="AA266" s="65" t="s">
        <v>188</v>
      </c>
      <c r="AB266" s="65">
        <v>7737361884</v>
      </c>
      <c r="AC266" s="65"/>
      <c r="AD266" s="62">
        <v>1</v>
      </c>
      <c r="AE266" s="62">
        <f>AF266/4</f>
        <v>18</v>
      </c>
      <c r="AF266" s="84">
        <v>72</v>
      </c>
      <c r="AG266" s="62" t="s">
        <v>133</v>
      </c>
      <c r="AH266" s="65" t="s">
        <v>819</v>
      </c>
      <c r="AI266" s="144"/>
    </row>
    <row r="267" spans="1:35" s="123" customFormat="1" ht="66.75" customHeight="1" x14ac:dyDescent="0.2">
      <c r="A267" s="83">
        <v>265</v>
      </c>
      <c r="B267" s="66" t="s">
        <v>331</v>
      </c>
      <c r="C267" s="67" t="s">
        <v>106</v>
      </c>
      <c r="D267" s="68">
        <v>46079</v>
      </c>
      <c r="E267" s="65" t="s">
        <v>332</v>
      </c>
      <c r="F267" s="36" t="s">
        <v>581</v>
      </c>
      <c r="G267" s="83" t="s">
        <v>333</v>
      </c>
      <c r="H267" s="65" t="s">
        <v>142</v>
      </c>
      <c r="I267" s="65" t="s">
        <v>198</v>
      </c>
      <c r="J267" s="68">
        <v>46079</v>
      </c>
      <c r="K267" s="62" t="s">
        <v>2</v>
      </c>
      <c r="L267" s="65" t="s">
        <v>867</v>
      </c>
      <c r="M267" s="65" t="s">
        <v>866</v>
      </c>
      <c r="N267" s="65" t="s">
        <v>196</v>
      </c>
      <c r="O267" s="65" t="s">
        <v>196</v>
      </c>
      <c r="P267" s="65" t="s">
        <v>196</v>
      </c>
      <c r="Q267" s="65" t="s">
        <v>196</v>
      </c>
      <c r="R267" s="65" t="s">
        <v>196</v>
      </c>
      <c r="S267" s="65" t="s">
        <v>196</v>
      </c>
      <c r="T267" s="65" t="s">
        <v>196</v>
      </c>
      <c r="U267" s="65" t="s">
        <v>196</v>
      </c>
      <c r="V267" s="65" t="s">
        <v>176</v>
      </c>
      <c r="W267" s="65" t="s">
        <v>852</v>
      </c>
      <c r="X267" s="65" t="s">
        <v>1048</v>
      </c>
      <c r="Y267" s="65"/>
      <c r="Z267" s="65"/>
      <c r="AA267" s="65"/>
      <c r="AB267" s="65"/>
      <c r="AC267" s="65"/>
      <c r="AD267" s="62">
        <v>0</v>
      </c>
      <c r="AE267" s="62">
        <f>AF267/4</f>
        <v>0</v>
      </c>
      <c r="AF267" s="69">
        <v>0</v>
      </c>
      <c r="AG267" s="65" t="s">
        <v>196</v>
      </c>
      <c r="AH267" s="65" t="s">
        <v>196</v>
      </c>
      <c r="AI267" s="144"/>
    </row>
    <row r="268" spans="1:35" s="123" customFormat="1" ht="66.75" customHeight="1" x14ac:dyDescent="0.2">
      <c r="A268" s="83">
        <v>266</v>
      </c>
      <c r="B268" s="66" t="s">
        <v>415</v>
      </c>
      <c r="C268" s="67" t="s">
        <v>107</v>
      </c>
      <c r="D268" s="68">
        <v>46098</v>
      </c>
      <c r="E268" s="65" t="s">
        <v>417</v>
      </c>
      <c r="F268" s="80" t="s">
        <v>416</v>
      </c>
      <c r="G268" s="83" t="s">
        <v>418</v>
      </c>
      <c r="H268" s="65" t="s">
        <v>140</v>
      </c>
      <c r="I268" s="65" t="s">
        <v>198</v>
      </c>
      <c r="J268" s="68">
        <v>46094</v>
      </c>
      <c r="K268" s="62" t="s">
        <v>2</v>
      </c>
      <c r="L268" s="65" t="s">
        <v>196</v>
      </c>
      <c r="M268" s="65" t="s">
        <v>419</v>
      </c>
      <c r="N268" s="65" t="s">
        <v>196</v>
      </c>
      <c r="O268" s="65" t="s">
        <v>196</v>
      </c>
      <c r="P268" s="65" t="s">
        <v>196</v>
      </c>
      <c r="Q268" s="65" t="s">
        <v>196</v>
      </c>
      <c r="R268" s="65" t="s">
        <v>196</v>
      </c>
      <c r="S268" s="65" t="s">
        <v>196</v>
      </c>
      <c r="T268" s="65" t="s">
        <v>196</v>
      </c>
      <c r="U268" s="65" t="s">
        <v>196</v>
      </c>
      <c r="V268" s="65" t="s">
        <v>175</v>
      </c>
      <c r="W268" s="65" t="s">
        <v>598</v>
      </c>
      <c r="X268" s="65" t="s">
        <v>1047</v>
      </c>
      <c r="Y268" s="65"/>
      <c r="Z268" s="65"/>
      <c r="AA268" s="65" t="s">
        <v>188</v>
      </c>
      <c r="AB268" s="65"/>
      <c r="AC268" s="65"/>
      <c r="AD268" s="62">
        <v>1</v>
      </c>
      <c r="AE268" s="62">
        <v>1</v>
      </c>
      <c r="AF268" s="69">
        <v>0</v>
      </c>
      <c r="AG268" s="65" t="s">
        <v>196</v>
      </c>
      <c r="AH268" s="65" t="s">
        <v>196</v>
      </c>
      <c r="AI268" s="144"/>
    </row>
    <row r="269" spans="1:35" s="123" customFormat="1" ht="66.75" customHeight="1" x14ac:dyDescent="0.2">
      <c r="A269" s="83">
        <v>267</v>
      </c>
      <c r="B269" s="66" t="s">
        <v>228</v>
      </c>
      <c r="C269" s="67" t="s">
        <v>106</v>
      </c>
      <c r="D269" s="68">
        <v>46058</v>
      </c>
      <c r="E269" s="65" t="s">
        <v>290</v>
      </c>
      <c r="F269" s="36" t="s">
        <v>563</v>
      </c>
      <c r="G269" s="83" t="s">
        <v>289</v>
      </c>
      <c r="H269" s="65" t="s">
        <v>229</v>
      </c>
      <c r="I269" s="65" t="s">
        <v>202</v>
      </c>
      <c r="J269" s="68">
        <v>46058</v>
      </c>
      <c r="K269" s="62" t="s">
        <v>2</v>
      </c>
      <c r="L269" s="65" t="s">
        <v>830</v>
      </c>
      <c r="M269" s="65" t="s">
        <v>831</v>
      </c>
      <c r="N269" s="65" t="s">
        <v>196</v>
      </c>
      <c r="O269" s="65" t="s">
        <v>196</v>
      </c>
      <c r="P269" s="65" t="s">
        <v>196</v>
      </c>
      <c r="Q269" s="65" t="s">
        <v>196</v>
      </c>
      <c r="R269" s="65" t="s">
        <v>196</v>
      </c>
      <c r="S269" s="65" t="s">
        <v>196</v>
      </c>
      <c r="T269" s="65" t="s">
        <v>196</v>
      </c>
      <c r="U269" s="65" t="s">
        <v>196</v>
      </c>
      <c r="V269" s="65" t="s">
        <v>175</v>
      </c>
      <c r="W269" s="65" t="s">
        <v>598</v>
      </c>
      <c r="X269" s="65" t="s">
        <v>1047</v>
      </c>
      <c r="Y269" s="65"/>
      <c r="Z269" s="65"/>
      <c r="AA269" s="65" t="s">
        <v>188</v>
      </c>
      <c r="AB269" s="65" t="s">
        <v>282</v>
      </c>
      <c r="AC269" s="65" t="s">
        <v>545</v>
      </c>
      <c r="AD269" s="62">
        <v>1</v>
      </c>
      <c r="AE269" s="62">
        <v>1</v>
      </c>
      <c r="AF269" s="69">
        <v>0</v>
      </c>
      <c r="AG269" s="65" t="s">
        <v>196</v>
      </c>
      <c r="AH269" s="65" t="s">
        <v>196</v>
      </c>
      <c r="AI269" s="144"/>
    </row>
    <row r="270" spans="1:35" s="123" customFormat="1" ht="66.75" customHeight="1" x14ac:dyDescent="0.2">
      <c r="A270" s="83">
        <v>268</v>
      </c>
      <c r="B270" s="66" t="s">
        <v>216</v>
      </c>
      <c r="C270" s="67" t="s">
        <v>106</v>
      </c>
      <c r="D270" s="68">
        <v>46057</v>
      </c>
      <c r="E270" s="65" t="s">
        <v>217</v>
      </c>
      <c r="F270" s="36" t="s">
        <v>465</v>
      </c>
      <c r="G270" s="83" t="s">
        <v>218</v>
      </c>
      <c r="H270" s="65" t="s">
        <v>140</v>
      </c>
      <c r="I270" s="65" t="s">
        <v>198</v>
      </c>
      <c r="J270" s="68">
        <v>46057</v>
      </c>
      <c r="K270" s="62" t="s">
        <v>2</v>
      </c>
      <c r="L270" s="65" t="s">
        <v>196</v>
      </c>
      <c r="M270" s="65" t="s">
        <v>559</v>
      </c>
      <c r="N270" s="65" t="s">
        <v>196</v>
      </c>
      <c r="O270" s="65" t="s">
        <v>196</v>
      </c>
      <c r="P270" s="65" t="s">
        <v>196</v>
      </c>
      <c r="Q270" s="65" t="s">
        <v>196</v>
      </c>
      <c r="R270" s="65" t="s">
        <v>196</v>
      </c>
      <c r="S270" s="65" t="s">
        <v>196</v>
      </c>
      <c r="T270" s="65" t="s">
        <v>196</v>
      </c>
      <c r="U270" s="65" t="s">
        <v>196</v>
      </c>
      <c r="V270" s="65" t="s">
        <v>175</v>
      </c>
      <c r="W270" s="65" t="s">
        <v>598</v>
      </c>
      <c r="X270" s="65" t="s">
        <v>1047</v>
      </c>
      <c r="Y270" s="65"/>
      <c r="Z270" s="65"/>
      <c r="AA270" s="65" t="s">
        <v>189</v>
      </c>
      <c r="AB270" s="65" t="s">
        <v>558</v>
      </c>
      <c r="AC270" s="65"/>
      <c r="AD270" s="62">
        <v>1</v>
      </c>
      <c r="AE270" s="62">
        <v>1</v>
      </c>
      <c r="AF270" s="69">
        <v>0</v>
      </c>
      <c r="AG270" s="65" t="s">
        <v>196</v>
      </c>
      <c r="AH270" s="65" t="s">
        <v>196</v>
      </c>
      <c r="AI270" s="144"/>
    </row>
    <row r="271" spans="1:35" s="123" customFormat="1" ht="66.75" customHeight="1" x14ac:dyDescent="0.2">
      <c r="A271" s="83">
        <v>269</v>
      </c>
      <c r="B271" s="66" t="s">
        <v>431</v>
      </c>
      <c r="C271" s="67" t="s">
        <v>107</v>
      </c>
      <c r="D271" s="68">
        <v>46100</v>
      </c>
      <c r="E271" s="65" t="s">
        <v>211</v>
      </c>
      <c r="F271" s="36" t="s">
        <v>571</v>
      </c>
      <c r="G271" s="83" t="s">
        <v>432</v>
      </c>
      <c r="H271" s="65" t="s">
        <v>168</v>
      </c>
      <c r="I271" s="65" t="s">
        <v>198</v>
      </c>
      <c r="J271" s="68">
        <v>46100</v>
      </c>
      <c r="K271" s="62" t="s">
        <v>2</v>
      </c>
      <c r="L271" s="65" t="s">
        <v>196</v>
      </c>
      <c r="M271" s="65" t="s">
        <v>433</v>
      </c>
      <c r="N271" s="65" t="s">
        <v>196</v>
      </c>
      <c r="O271" s="65" t="s">
        <v>196</v>
      </c>
      <c r="P271" s="65" t="s">
        <v>196</v>
      </c>
      <c r="Q271" s="65" t="s">
        <v>196</v>
      </c>
      <c r="R271" s="65" t="s">
        <v>196</v>
      </c>
      <c r="S271" s="65" t="s">
        <v>196</v>
      </c>
      <c r="T271" s="65" t="s">
        <v>196</v>
      </c>
      <c r="U271" s="65" t="s">
        <v>196</v>
      </c>
      <c r="V271" s="65" t="s">
        <v>176</v>
      </c>
      <c r="W271" s="65" t="s">
        <v>598</v>
      </c>
      <c r="X271" s="65" t="s">
        <v>1047</v>
      </c>
      <c r="Y271" s="65"/>
      <c r="Z271" s="65"/>
      <c r="AA271" s="65"/>
      <c r="AB271" s="65"/>
      <c r="AC271" s="65"/>
      <c r="AD271" s="62">
        <v>1</v>
      </c>
      <c r="AE271" s="62">
        <v>1</v>
      </c>
      <c r="AF271" s="69">
        <v>0</v>
      </c>
      <c r="AG271" s="65" t="s">
        <v>196</v>
      </c>
      <c r="AH271" s="65" t="s">
        <v>196</v>
      </c>
      <c r="AI271" s="144"/>
    </row>
    <row r="272" spans="1:35" s="123" customFormat="1" ht="66.75" customHeight="1" x14ac:dyDescent="0.2">
      <c r="A272" s="83">
        <v>270</v>
      </c>
      <c r="B272" s="66" t="s">
        <v>1242</v>
      </c>
      <c r="C272" s="67" t="s">
        <v>110</v>
      </c>
      <c r="D272" s="68">
        <v>46188</v>
      </c>
      <c r="E272" s="65" t="s">
        <v>1243</v>
      </c>
      <c r="F272" s="36" t="s">
        <v>466</v>
      </c>
      <c r="G272" s="83" t="s">
        <v>1244</v>
      </c>
      <c r="H272" s="65" t="s">
        <v>143</v>
      </c>
      <c r="I272" s="65" t="s">
        <v>202</v>
      </c>
      <c r="J272" s="68">
        <v>46188</v>
      </c>
      <c r="K272" s="62" t="s">
        <v>2</v>
      </c>
      <c r="L272" s="65" t="s">
        <v>196</v>
      </c>
      <c r="M272" s="121" t="s">
        <v>1245</v>
      </c>
      <c r="N272" s="65" t="s">
        <v>196</v>
      </c>
      <c r="O272" s="65" t="s">
        <v>196</v>
      </c>
      <c r="P272" s="65" t="s">
        <v>196</v>
      </c>
      <c r="Q272" s="65" t="s">
        <v>196</v>
      </c>
      <c r="R272" s="65" t="s">
        <v>196</v>
      </c>
      <c r="S272" s="65" t="s">
        <v>196</v>
      </c>
      <c r="T272" s="65" t="s">
        <v>196</v>
      </c>
      <c r="U272" s="65" t="s">
        <v>196</v>
      </c>
      <c r="V272" s="65" t="s">
        <v>175</v>
      </c>
      <c r="W272" s="65" t="s">
        <v>598</v>
      </c>
      <c r="X272" s="65" t="s">
        <v>1047</v>
      </c>
      <c r="Y272" s="65"/>
      <c r="Z272" s="65"/>
      <c r="AA272" s="65" t="s">
        <v>188</v>
      </c>
      <c r="AB272" s="65" t="s">
        <v>1246</v>
      </c>
      <c r="AC272" s="65"/>
      <c r="AD272" s="62">
        <v>0</v>
      </c>
      <c r="AE272" s="62">
        <v>0</v>
      </c>
      <c r="AF272" s="84">
        <v>0</v>
      </c>
      <c r="AG272" s="65" t="s">
        <v>196</v>
      </c>
      <c r="AH272" s="65" t="s">
        <v>196</v>
      </c>
      <c r="AI272" s="144"/>
    </row>
    <row r="273" spans="1:35" s="123" customFormat="1" ht="66.75" customHeight="1" x14ac:dyDescent="0.2">
      <c r="A273" s="83">
        <v>271</v>
      </c>
      <c r="B273" s="66" t="s">
        <v>1188</v>
      </c>
      <c r="C273" s="67" t="s">
        <v>110</v>
      </c>
      <c r="D273" s="68">
        <v>46175</v>
      </c>
      <c r="E273" s="65" t="s">
        <v>211</v>
      </c>
      <c r="F273" s="36" t="s">
        <v>548</v>
      </c>
      <c r="G273" s="83" t="s">
        <v>1190</v>
      </c>
      <c r="H273" s="65" t="s">
        <v>142</v>
      </c>
      <c r="I273" s="65" t="s">
        <v>198</v>
      </c>
      <c r="J273" s="68">
        <v>46175</v>
      </c>
      <c r="K273" s="62" t="s">
        <v>2</v>
      </c>
      <c r="L273" s="62" t="s">
        <v>1230</v>
      </c>
      <c r="M273" s="65" t="s">
        <v>1231</v>
      </c>
      <c r="N273" s="65" t="s">
        <v>2</v>
      </c>
      <c r="O273" s="65" t="s">
        <v>1232</v>
      </c>
      <c r="P273" s="65" t="s">
        <v>3</v>
      </c>
      <c r="Q273" s="65" t="s">
        <v>196</v>
      </c>
      <c r="R273" s="65"/>
      <c r="S273" s="65"/>
      <c r="T273" s="65"/>
      <c r="U273" s="65"/>
      <c r="V273" s="23"/>
      <c r="W273" s="23"/>
      <c r="X273" s="98" t="s">
        <v>1043</v>
      </c>
      <c r="Y273" s="98" t="s">
        <v>66</v>
      </c>
      <c r="Z273" s="65" t="s">
        <v>1189</v>
      </c>
      <c r="AA273" s="65"/>
      <c r="AB273" s="65"/>
      <c r="AC273" s="65"/>
      <c r="AD273" s="62"/>
      <c r="AE273" s="62"/>
      <c r="AF273" s="81"/>
      <c r="AG273" s="62"/>
      <c r="AH273" s="65" t="s">
        <v>819</v>
      </c>
      <c r="AI273" s="144"/>
    </row>
    <row r="274" spans="1:35" s="123" customFormat="1" ht="66.75" customHeight="1" x14ac:dyDescent="0.2">
      <c r="A274" s="83">
        <v>272</v>
      </c>
      <c r="B274" s="66" t="s">
        <v>720</v>
      </c>
      <c r="C274" s="67" t="s">
        <v>109</v>
      </c>
      <c r="D274" s="68">
        <v>46147</v>
      </c>
      <c r="E274" s="65" t="s">
        <v>721</v>
      </c>
      <c r="F274" s="36" t="s">
        <v>1065</v>
      </c>
      <c r="G274" s="83" t="s">
        <v>722</v>
      </c>
      <c r="H274" s="65" t="s">
        <v>143</v>
      </c>
      <c r="I274" s="65" t="s">
        <v>198</v>
      </c>
      <c r="J274" s="68">
        <v>46147</v>
      </c>
      <c r="K274" s="62" t="s">
        <v>2</v>
      </c>
      <c r="L274" s="65" t="s">
        <v>1018</v>
      </c>
      <c r="M274" s="83" t="s">
        <v>1346</v>
      </c>
      <c r="N274" s="65" t="s">
        <v>196</v>
      </c>
      <c r="O274" s="65" t="s">
        <v>196</v>
      </c>
      <c r="P274" s="65" t="s">
        <v>196</v>
      </c>
      <c r="Q274" s="65" t="s">
        <v>196</v>
      </c>
      <c r="R274" s="65" t="s">
        <v>196</v>
      </c>
      <c r="S274" s="65" t="s">
        <v>196</v>
      </c>
      <c r="T274" s="65" t="s">
        <v>196</v>
      </c>
      <c r="U274" s="65" t="s">
        <v>196</v>
      </c>
      <c r="V274" s="65" t="s">
        <v>175</v>
      </c>
      <c r="W274" s="65" t="s">
        <v>599</v>
      </c>
      <c r="X274" s="65" t="s">
        <v>1047</v>
      </c>
      <c r="Y274" s="65"/>
      <c r="Z274" s="65"/>
      <c r="AA274" s="65" t="s">
        <v>189</v>
      </c>
      <c r="AB274" s="83">
        <v>7713524273</v>
      </c>
      <c r="AC274" s="83"/>
      <c r="AD274" s="62">
        <v>1</v>
      </c>
      <c r="AE274" s="62">
        <f>AF274/4</f>
        <v>0</v>
      </c>
      <c r="AF274" s="81"/>
      <c r="AG274" s="62" t="s">
        <v>132</v>
      </c>
      <c r="AH274" s="83" t="s">
        <v>835</v>
      </c>
      <c r="AI274" s="144"/>
    </row>
    <row r="275" spans="1:35" s="123" customFormat="1" ht="66.75" customHeight="1" x14ac:dyDescent="0.2">
      <c r="A275" s="83">
        <v>273</v>
      </c>
      <c r="B275" s="66" t="s">
        <v>1477</v>
      </c>
      <c r="C275" s="67" t="s">
        <v>111</v>
      </c>
      <c r="D275" s="68">
        <v>46230</v>
      </c>
      <c r="E275" s="65" t="s">
        <v>1478</v>
      </c>
      <c r="F275" s="36"/>
      <c r="G275" s="83" t="s">
        <v>1479</v>
      </c>
      <c r="H275" s="65" t="s">
        <v>140</v>
      </c>
      <c r="I275" s="65" t="s">
        <v>195</v>
      </c>
      <c r="J275" s="68">
        <v>46230</v>
      </c>
      <c r="K275" s="62" t="s">
        <v>2</v>
      </c>
      <c r="L275" s="65" t="s">
        <v>1505</v>
      </c>
      <c r="M275" s="65" t="s">
        <v>1507</v>
      </c>
      <c r="N275" s="65" t="s">
        <v>196</v>
      </c>
      <c r="O275" s="65" t="s">
        <v>196</v>
      </c>
      <c r="P275" s="65" t="s">
        <v>196</v>
      </c>
      <c r="Q275" s="65" t="s">
        <v>196</v>
      </c>
      <c r="R275" s="65" t="s">
        <v>2</v>
      </c>
      <c r="S275" s="65" t="s">
        <v>1506</v>
      </c>
      <c r="T275" s="65"/>
      <c r="U275" s="65"/>
      <c r="V275" s="65" t="s">
        <v>179</v>
      </c>
      <c r="W275" s="65" t="s">
        <v>598</v>
      </c>
      <c r="X275" s="65" t="s">
        <v>1047</v>
      </c>
      <c r="Y275" s="65"/>
      <c r="Z275" s="65"/>
      <c r="AA275" s="65"/>
      <c r="AB275" s="65"/>
      <c r="AC275" s="65"/>
      <c r="AD275" s="89">
        <v>1</v>
      </c>
      <c r="AE275" s="89"/>
      <c r="AF275" s="84"/>
      <c r="AG275" s="65" t="s">
        <v>196</v>
      </c>
      <c r="AH275" s="65" t="s">
        <v>970</v>
      </c>
      <c r="AI275" s="144"/>
    </row>
    <row r="276" spans="1:35" s="123" customFormat="1" ht="78.75" x14ac:dyDescent="0.2">
      <c r="A276" s="83">
        <v>274</v>
      </c>
      <c r="B276" s="66" t="s">
        <v>1619</v>
      </c>
      <c r="C276" s="67" t="s">
        <v>112</v>
      </c>
      <c r="D276" s="68">
        <v>46245</v>
      </c>
      <c r="E276" s="65" t="s">
        <v>1620</v>
      </c>
      <c r="F276" s="36" t="s">
        <v>1621</v>
      </c>
      <c r="G276" s="83" t="s">
        <v>1622</v>
      </c>
      <c r="H276" s="65" t="s">
        <v>148</v>
      </c>
      <c r="I276" s="65" t="s">
        <v>195</v>
      </c>
      <c r="J276" s="68">
        <v>46245</v>
      </c>
      <c r="K276" s="62" t="s">
        <v>2</v>
      </c>
      <c r="L276" s="65" t="s">
        <v>1623</v>
      </c>
      <c r="M276" s="65" t="s">
        <v>1624</v>
      </c>
      <c r="N276" s="65" t="s">
        <v>196</v>
      </c>
      <c r="O276" s="65" t="s">
        <v>196</v>
      </c>
      <c r="P276" s="65" t="s">
        <v>196</v>
      </c>
      <c r="Q276" s="65" t="s">
        <v>196</v>
      </c>
      <c r="R276" s="65" t="s">
        <v>196</v>
      </c>
      <c r="S276" s="65" t="s">
        <v>196</v>
      </c>
      <c r="T276" s="65" t="s">
        <v>196</v>
      </c>
      <c r="U276" s="65" t="s">
        <v>196</v>
      </c>
      <c r="V276" s="65" t="s">
        <v>175</v>
      </c>
      <c r="W276" s="65" t="s">
        <v>598</v>
      </c>
      <c r="X276" s="65" t="s">
        <v>1047</v>
      </c>
      <c r="Y276" s="65"/>
      <c r="Z276" s="65"/>
      <c r="AA276" s="65" t="s">
        <v>189</v>
      </c>
      <c r="AB276" s="65"/>
      <c r="AC276" s="65"/>
      <c r="AD276" s="89">
        <v>1</v>
      </c>
      <c r="AE276" s="89">
        <v>1</v>
      </c>
      <c r="AF276" s="84"/>
      <c r="AG276" s="65" t="s">
        <v>196</v>
      </c>
      <c r="AH276" s="65" t="s">
        <v>196</v>
      </c>
      <c r="AI276" s="144"/>
    </row>
    <row r="277" spans="1:35" s="123" customFormat="1" ht="25.5" customHeight="1" x14ac:dyDescent="0.2">
      <c r="A277" s="83">
        <v>275</v>
      </c>
      <c r="B277" s="66" t="s">
        <v>1105</v>
      </c>
      <c r="C277" s="67" t="s">
        <v>109</v>
      </c>
      <c r="D277" s="68">
        <v>46168</v>
      </c>
      <c r="E277" s="65" t="s">
        <v>211</v>
      </c>
      <c r="F277" s="88" t="s">
        <v>214</v>
      </c>
      <c r="G277" s="83" t="s">
        <v>1134</v>
      </c>
      <c r="H277" s="65" t="s">
        <v>4</v>
      </c>
      <c r="I277" s="65" t="s">
        <v>202</v>
      </c>
      <c r="J277" s="68">
        <v>46169</v>
      </c>
      <c r="K277" s="62" t="s">
        <v>170</v>
      </c>
      <c r="L277" s="65" t="s">
        <v>196</v>
      </c>
      <c r="M277" s="83"/>
      <c r="N277" s="98"/>
      <c r="O277" s="98"/>
      <c r="P277" s="98"/>
      <c r="Q277" s="98"/>
      <c r="R277" s="98"/>
      <c r="S277" s="98"/>
      <c r="T277" s="98"/>
      <c r="U277" s="98"/>
      <c r="V277" s="65" t="s">
        <v>173</v>
      </c>
      <c r="W277" s="65" t="s">
        <v>598</v>
      </c>
      <c r="X277" s="65" t="s">
        <v>1047</v>
      </c>
      <c r="Y277" s="65"/>
      <c r="Z277" s="65"/>
      <c r="AA277" s="65" t="s">
        <v>188</v>
      </c>
      <c r="AB277" s="98"/>
      <c r="AC277" s="65"/>
      <c r="AD277" s="100"/>
      <c r="AE277" s="100"/>
      <c r="AF277" s="81"/>
      <c r="AG277" s="62" t="s">
        <v>132</v>
      </c>
      <c r="AH277" s="65" t="s">
        <v>835</v>
      </c>
      <c r="AI277" s="143"/>
    </row>
    <row r="278" spans="1:35" s="123" customFormat="1" ht="66.75" customHeight="1" x14ac:dyDescent="0.2">
      <c r="A278" s="83">
        <v>276</v>
      </c>
      <c r="B278" s="66" t="s">
        <v>1106</v>
      </c>
      <c r="C278" s="67" t="s">
        <v>109</v>
      </c>
      <c r="D278" s="68">
        <v>46168</v>
      </c>
      <c r="E278" s="65" t="s">
        <v>1135</v>
      </c>
      <c r="F278" s="88" t="s">
        <v>416</v>
      </c>
      <c r="G278" s="83" t="s">
        <v>1136</v>
      </c>
      <c r="H278" s="65" t="s">
        <v>143</v>
      </c>
      <c r="I278" s="65" t="s">
        <v>198</v>
      </c>
      <c r="J278" s="68">
        <v>46169</v>
      </c>
      <c r="K278" s="62" t="s">
        <v>2</v>
      </c>
      <c r="L278" s="65" t="s">
        <v>1395</v>
      </c>
      <c r="M278" s="98"/>
      <c r="N278" s="98"/>
      <c r="O278" s="98"/>
      <c r="P278" s="98"/>
      <c r="Q278" s="98"/>
      <c r="R278" s="98"/>
      <c r="S278" s="98"/>
      <c r="T278" s="98"/>
      <c r="U278" s="98"/>
      <c r="V278" s="65" t="s">
        <v>175</v>
      </c>
      <c r="W278" s="65" t="s">
        <v>598</v>
      </c>
      <c r="X278" s="65" t="s">
        <v>1047</v>
      </c>
      <c r="Y278" s="65"/>
      <c r="Z278" s="65"/>
      <c r="AA278" s="65"/>
      <c r="AB278" s="65"/>
      <c r="AC278" s="65"/>
      <c r="AD278" s="62"/>
      <c r="AE278" s="62"/>
      <c r="AF278" s="81"/>
      <c r="AG278" s="65" t="s">
        <v>196</v>
      </c>
      <c r="AH278" s="65" t="s">
        <v>196</v>
      </c>
      <c r="AI278" s="144"/>
    </row>
    <row r="279" spans="1:35" s="123" customFormat="1" ht="38.25" customHeight="1" x14ac:dyDescent="0.2">
      <c r="A279" s="83">
        <v>277</v>
      </c>
      <c r="B279" s="66" t="s">
        <v>1247</v>
      </c>
      <c r="C279" s="67" t="s">
        <v>110</v>
      </c>
      <c r="D279" s="68">
        <v>46188</v>
      </c>
      <c r="E279" s="65" t="s">
        <v>1248</v>
      </c>
      <c r="F279" s="88"/>
      <c r="G279" s="83" t="s">
        <v>1249</v>
      </c>
      <c r="H279" s="65" t="s">
        <v>168</v>
      </c>
      <c r="I279" s="65" t="s">
        <v>198</v>
      </c>
      <c r="J279" s="68">
        <v>46188</v>
      </c>
      <c r="K279" s="62" t="s">
        <v>170</v>
      </c>
      <c r="L279" s="65" t="s">
        <v>196</v>
      </c>
      <c r="M279" s="65"/>
      <c r="N279" s="65" t="s">
        <v>196</v>
      </c>
      <c r="O279" s="65" t="s">
        <v>196</v>
      </c>
      <c r="P279" s="65" t="s">
        <v>196</v>
      </c>
      <c r="Q279" s="65" t="s">
        <v>196</v>
      </c>
      <c r="R279" s="65" t="s">
        <v>196</v>
      </c>
      <c r="S279" s="65" t="s">
        <v>196</v>
      </c>
      <c r="T279" s="65" t="s">
        <v>196</v>
      </c>
      <c r="U279" s="65" t="s">
        <v>196</v>
      </c>
      <c r="V279" s="65" t="s">
        <v>176</v>
      </c>
      <c r="W279" s="65" t="s">
        <v>598</v>
      </c>
      <c r="X279" s="65" t="s">
        <v>1048</v>
      </c>
      <c r="Y279" s="65"/>
      <c r="Z279" s="65"/>
      <c r="AA279" s="65" t="s">
        <v>188</v>
      </c>
      <c r="AB279" s="65"/>
      <c r="AC279" s="65"/>
      <c r="AD279" s="62">
        <v>0</v>
      </c>
      <c r="AE279" s="62">
        <v>0</v>
      </c>
      <c r="AF279" s="84">
        <v>0</v>
      </c>
      <c r="AG279" s="65" t="s">
        <v>196</v>
      </c>
      <c r="AH279" s="65" t="s">
        <v>196</v>
      </c>
      <c r="AI279" s="144"/>
    </row>
    <row r="280" spans="1:35" s="123" customFormat="1" ht="66.75" customHeight="1" x14ac:dyDescent="0.2">
      <c r="A280" s="83">
        <v>278</v>
      </c>
      <c r="B280" s="66" t="s">
        <v>1362</v>
      </c>
      <c r="C280" s="67" t="s">
        <v>111</v>
      </c>
      <c r="D280" s="68">
        <v>46204</v>
      </c>
      <c r="E280" s="65" t="s">
        <v>1363</v>
      </c>
      <c r="F280" s="36" t="s">
        <v>1436</v>
      </c>
      <c r="G280" s="83" t="s">
        <v>1364</v>
      </c>
      <c r="H280" s="65" t="s">
        <v>4</v>
      </c>
      <c r="I280" s="65" t="s">
        <v>195</v>
      </c>
      <c r="J280" s="68">
        <v>46204</v>
      </c>
      <c r="K280" s="62" t="s">
        <v>2</v>
      </c>
      <c r="L280" s="65" t="s">
        <v>196</v>
      </c>
      <c r="M280" s="65"/>
      <c r="N280" s="65"/>
      <c r="O280" s="65"/>
      <c r="P280" s="65"/>
      <c r="Q280" s="65"/>
      <c r="R280" s="65"/>
      <c r="S280" s="65"/>
      <c r="T280" s="65"/>
      <c r="U280" s="65"/>
      <c r="V280" s="65" t="s">
        <v>175</v>
      </c>
      <c r="W280" s="65" t="s">
        <v>598</v>
      </c>
      <c r="X280" s="65" t="s">
        <v>1047</v>
      </c>
      <c r="Y280" s="65"/>
      <c r="Z280" s="65"/>
      <c r="AA280" s="65" t="s">
        <v>188</v>
      </c>
      <c r="AB280" s="65"/>
      <c r="AC280" s="65"/>
      <c r="AD280" s="89">
        <v>1</v>
      </c>
      <c r="AE280" s="89">
        <v>1</v>
      </c>
      <c r="AF280" s="84">
        <v>0</v>
      </c>
      <c r="AG280" s="65" t="s">
        <v>196</v>
      </c>
      <c r="AH280" s="65" t="s">
        <v>196</v>
      </c>
      <c r="AI280" s="144"/>
    </row>
    <row r="281" spans="1:35" s="123" customFormat="1" ht="66.75" customHeight="1" x14ac:dyDescent="0.2">
      <c r="A281" s="83">
        <v>279</v>
      </c>
      <c r="B281" s="66" t="s">
        <v>1480</v>
      </c>
      <c r="C281" s="67" t="s">
        <v>111</v>
      </c>
      <c r="D281" s="68">
        <v>46230</v>
      </c>
      <c r="E281" s="65" t="s">
        <v>1481</v>
      </c>
      <c r="F281" s="36"/>
      <c r="G281" s="83" t="s">
        <v>1482</v>
      </c>
      <c r="H281" s="65" t="s">
        <v>140</v>
      </c>
      <c r="I281" s="65" t="s">
        <v>202</v>
      </c>
      <c r="J281" s="68">
        <v>46230</v>
      </c>
      <c r="K281" s="62" t="s">
        <v>2</v>
      </c>
      <c r="L281" s="65"/>
      <c r="M281" s="65"/>
      <c r="N281" s="65"/>
      <c r="O281" s="65"/>
      <c r="P281" s="65"/>
      <c r="Q281" s="65"/>
      <c r="R281" s="65"/>
      <c r="S281" s="65"/>
      <c r="T281" s="65"/>
      <c r="U281" s="65"/>
      <c r="V281" s="65"/>
      <c r="W281" s="65" t="s">
        <v>598</v>
      </c>
      <c r="X281" s="65" t="s">
        <v>1048</v>
      </c>
      <c r="Y281" s="65"/>
      <c r="Z281" s="65"/>
      <c r="AA281" s="65"/>
      <c r="AB281" s="65"/>
      <c r="AC281" s="65"/>
      <c r="AD281" s="89"/>
      <c r="AE281" s="89"/>
      <c r="AF281" s="84"/>
      <c r="AG281" s="65" t="s">
        <v>196</v>
      </c>
      <c r="AH281" s="65" t="s">
        <v>196</v>
      </c>
      <c r="AI281" s="143"/>
    </row>
    <row r="282" spans="1:35" s="123" customFormat="1" ht="29.25" customHeight="1" x14ac:dyDescent="0.2">
      <c r="A282" s="83">
        <v>280</v>
      </c>
      <c r="B282" s="66" t="s">
        <v>1526</v>
      </c>
      <c r="C282" s="67" t="s">
        <v>112</v>
      </c>
      <c r="D282" s="68">
        <v>46238</v>
      </c>
      <c r="E282" s="65" t="s">
        <v>1562</v>
      </c>
      <c r="F282" s="36" t="s">
        <v>1386</v>
      </c>
      <c r="G282" s="83" t="s">
        <v>1639</v>
      </c>
      <c r="H282" s="65" t="s">
        <v>140</v>
      </c>
      <c r="I282" s="65" t="s">
        <v>198</v>
      </c>
      <c r="J282" s="68">
        <v>46232</v>
      </c>
      <c r="K282" s="62" t="s">
        <v>170</v>
      </c>
      <c r="L282" s="65" t="s">
        <v>196</v>
      </c>
      <c r="M282" s="65"/>
      <c r="N282" s="65" t="s">
        <v>196</v>
      </c>
      <c r="O282" s="65" t="s">
        <v>196</v>
      </c>
      <c r="P282" s="65" t="s">
        <v>196</v>
      </c>
      <c r="Q282" s="65" t="s">
        <v>196</v>
      </c>
      <c r="R282" s="65"/>
      <c r="S282" s="65"/>
      <c r="T282" s="65"/>
      <c r="U282" s="65"/>
      <c r="V282" s="65" t="s">
        <v>173</v>
      </c>
      <c r="W282" s="65" t="s">
        <v>598</v>
      </c>
      <c r="X282" s="98" t="s">
        <v>1043</v>
      </c>
      <c r="Y282" s="98" t="s">
        <v>78</v>
      </c>
      <c r="Z282" s="65" t="s">
        <v>1563</v>
      </c>
      <c r="AA282" s="65" t="s">
        <v>189</v>
      </c>
      <c r="AB282" s="65"/>
      <c r="AC282" s="65"/>
      <c r="AD282" s="89">
        <v>1</v>
      </c>
      <c r="AE282" s="89"/>
      <c r="AF282" s="84"/>
      <c r="AG282" s="62" t="s">
        <v>133</v>
      </c>
      <c r="AH282" s="65" t="s">
        <v>819</v>
      </c>
      <c r="AI282" s="144"/>
    </row>
    <row r="283" spans="1:35" s="123" customFormat="1" ht="63.75" customHeight="1" x14ac:dyDescent="0.2">
      <c r="A283" s="83">
        <v>281</v>
      </c>
      <c r="B283" s="66" t="s">
        <v>1527</v>
      </c>
      <c r="C283" s="67" t="s">
        <v>112</v>
      </c>
      <c r="D283" s="68">
        <v>46238</v>
      </c>
      <c r="E283" s="65" t="s">
        <v>1540</v>
      </c>
      <c r="F283" s="36" t="s">
        <v>1564</v>
      </c>
      <c r="G283" s="83" t="s">
        <v>1565</v>
      </c>
      <c r="H283" s="65" t="s">
        <v>168</v>
      </c>
      <c r="I283" s="65" t="s">
        <v>198</v>
      </c>
      <c r="J283" s="68">
        <v>46232</v>
      </c>
      <c r="K283" s="62" t="s">
        <v>170</v>
      </c>
      <c r="L283" s="65" t="s">
        <v>196</v>
      </c>
      <c r="M283" s="65"/>
      <c r="N283" s="65" t="s">
        <v>196</v>
      </c>
      <c r="O283" s="65" t="s">
        <v>196</v>
      </c>
      <c r="P283" s="65" t="s">
        <v>196</v>
      </c>
      <c r="Q283" s="65" t="s">
        <v>196</v>
      </c>
      <c r="R283" s="65"/>
      <c r="S283" s="65"/>
      <c r="T283" s="65"/>
      <c r="U283" s="65"/>
      <c r="V283" s="65" t="s">
        <v>175</v>
      </c>
      <c r="W283" s="65" t="s">
        <v>598</v>
      </c>
      <c r="X283" s="65" t="s">
        <v>1047</v>
      </c>
      <c r="Y283" s="65"/>
      <c r="Z283" s="65"/>
      <c r="AA283" s="65"/>
      <c r="AB283" s="65"/>
      <c r="AC283" s="65"/>
      <c r="AD283" s="89">
        <v>1</v>
      </c>
      <c r="AE283" s="89">
        <v>1</v>
      </c>
      <c r="AF283" s="84"/>
      <c r="AG283" s="65" t="s">
        <v>196</v>
      </c>
      <c r="AH283" s="65" t="s">
        <v>196</v>
      </c>
      <c r="AI283" s="144"/>
    </row>
    <row r="284" spans="1:35" s="123" customFormat="1" ht="54" customHeight="1" x14ac:dyDescent="0.2">
      <c r="A284" s="83">
        <v>282</v>
      </c>
      <c r="B284" s="66" t="s">
        <v>1630</v>
      </c>
      <c r="C284" s="67" t="s">
        <v>112</v>
      </c>
      <c r="D284" s="68">
        <v>46245</v>
      </c>
      <c r="E284" s="65" t="s">
        <v>1631</v>
      </c>
      <c r="F284" s="36" t="s">
        <v>1403</v>
      </c>
      <c r="G284" s="83" t="s">
        <v>1632</v>
      </c>
      <c r="H284" s="65" t="s">
        <v>4</v>
      </c>
      <c r="I284" s="65" t="s">
        <v>202</v>
      </c>
      <c r="J284" s="68">
        <v>46245</v>
      </c>
      <c r="K284" s="62" t="s">
        <v>170</v>
      </c>
      <c r="L284" s="65"/>
      <c r="M284" s="65"/>
      <c r="N284" s="65" t="s">
        <v>196</v>
      </c>
      <c r="O284" s="65" t="s">
        <v>196</v>
      </c>
      <c r="P284" s="65" t="s">
        <v>196</v>
      </c>
      <c r="Q284" s="65" t="s">
        <v>196</v>
      </c>
      <c r="R284" s="65" t="s">
        <v>196</v>
      </c>
      <c r="S284" s="65" t="s">
        <v>196</v>
      </c>
      <c r="T284" s="65" t="s">
        <v>196</v>
      </c>
      <c r="U284" s="65" t="s">
        <v>196</v>
      </c>
      <c r="V284" s="65" t="s">
        <v>178</v>
      </c>
      <c r="W284" s="65" t="s">
        <v>598</v>
      </c>
      <c r="X284" s="65" t="s">
        <v>1047</v>
      </c>
      <c r="Y284" s="65"/>
      <c r="Z284" s="65"/>
      <c r="AA284" s="65" t="s">
        <v>188</v>
      </c>
      <c r="AB284" s="65"/>
      <c r="AC284" s="65"/>
      <c r="AD284" s="89">
        <v>1</v>
      </c>
      <c r="AE284" s="89">
        <v>1</v>
      </c>
      <c r="AF284" s="84"/>
      <c r="AG284" s="65" t="s">
        <v>196</v>
      </c>
      <c r="AH284" s="65" t="s">
        <v>196</v>
      </c>
      <c r="AI284" s="144"/>
    </row>
    <row r="285" spans="1:35" s="123" customFormat="1" ht="66.75" customHeight="1" x14ac:dyDescent="0.2">
      <c r="A285" s="83">
        <v>283</v>
      </c>
      <c r="B285" s="66" t="s">
        <v>1692</v>
      </c>
      <c r="C285" s="67" t="s">
        <v>112</v>
      </c>
      <c r="D285" s="68">
        <v>46253</v>
      </c>
      <c r="E285" s="65" t="s">
        <v>1693</v>
      </c>
      <c r="F285" s="36" t="s">
        <v>1386</v>
      </c>
      <c r="G285" s="83" t="s">
        <v>1867</v>
      </c>
      <c r="H285" s="65" t="s">
        <v>140</v>
      </c>
      <c r="I285" s="65" t="s">
        <v>198</v>
      </c>
      <c r="J285" s="68">
        <v>46254</v>
      </c>
      <c r="K285" s="62" t="s">
        <v>2</v>
      </c>
      <c r="L285" s="62" t="s">
        <v>1866</v>
      </c>
      <c r="M285" s="65" t="s">
        <v>1868</v>
      </c>
      <c r="N285" s="65" t="s">
        <v>196</v>
      </c>
      <c r="O285" s="65" t="s">
        <v>196</v>
      </c>
      <c r="P285" s="65" t="s">
        <v>196</v>
      </c>
      <c r="Q285" s="65" t="s">
        <v>196</v>
      </c>
      <c r="R285" s="65" t="s">
        <v>196</v>
      </c>
      <c r="S285" s="65" t="s">
        <v>196</v>
      </c>
      <c r="T285" s="65" t="s">
        <v>196</v>
      </c>
      <c r="U285" s="65" t="s">
        <v>196</v>
      </c>
      <c r="V285" s="65" t="s">
        <v>175</v>
      </c>
      <c r="W285" s="65" t="s">
        <v>598</v>
      </c>
      <c r="X285" s="65" t="s">
        <v>1047</v>
      </c>
      <c r="Y285" s="65"/>
      <c r="Z285" s="65"/>
      <c r="AA285" s="65"/>
      <c r="AB285" s="65"/>
      <c r="AC285" s="65"/>
      <c r="AD285" s="89">
        <v>1</v>
      </c>
      <c r="AE285" s="89">
        <v>0</v>
      </c>
      <c r="AF285" s="84">
        <v>0</v>
      </c>
      <c r="AG285" s="65" t="s">
        <v>196</v>
      </c>
      <c r="AH285" s="65" t="s">
        <v>196</v>
      </c>
      <c r="AI285" s="144"/>
    </row>
    <row r="286" spans="1:35" s="123" customFormat="1" ht="30.75" customHeight="1" x14ac:dyDescent="0.2">
      <c r="A286" s="83">
        <v>284</v>
      </c>
      <c r="B286" s="66" t="s">
        <v>1746</v>
      </c>
      <c r="C286" s="67" t="s">
        <v>112</v>
      </c>
      <c r="D286" s="68">
        <v>46260</v>
      </c>
      <c r="E286" s="65" t="s">
        <v>1747</v>
      </c>
      <c r="F286" s="36" t="s">
        <v>1386</v>
      </c>
      <c r="G286" s="83" t="s">
        <v>1749</v>
      </c>
      <c r="H286" s="65" t="s">
        <v>140</v>
      </c>
      <c r="I286" s="65" t="s">
        <v>202</v>
      </c>
      <c r="J286" s="68">
        <v>46260</v>
      </c>
      <c r="K286" s="62" t="s">
        <v>170</v>
      </c>
      <c r="L286" s="65" t="s">
        <v>1828</v>
      </c>
      <c r="M286" s="65"/>
      <c r="N286" s="65" t="s">
        <v>196</v>
      </c>
      <c r="O286" s="65" t="s">
        <v>196</v>
      </c>
      <c r="P286" s="65" t="s">
        <v>196</v>
      </c>
      <c r="Q286" s="65" t="s">
        <v>196</v>
      </c>
      <c r="R286" s="65" t="s">
        <v>2</v>
      </c>
      <c r="S286" s="65" t="s">
        <v>1829</v>
      </c>
      <c r="T286" s="65" t="s">
        <v>196</v>
      </c>
      <c r="U286" s="65" t="s">
        <v>196</v>
      </c>
      <c r="V286" s="65" t="s">
        <v>173</v>
      </c>
      <c r="W286" s="65" t="s">
        <v>599</v>
      </c>
      <c r="X286" s="98" t="s">
        <v>166</v>
      </c>
      <c r="Y286" s="98" t="s">
        <v>48</v>
      </c>
      <c r="Z286" s="65" t="s">
        <v>1748</v>
      </c>
      <c r="AA286" s="65" t="s">
        <v>188</v>
      </c>
      <c r="AB286" s="65"/>
      <c r="AC286" s="65"/>
      <c r="AD286" s="89">
        <v>1</v>
      </c>
      <c r="AE286" s="89"/>
      <c r="AF286" s="84"/>
      <c r="AG286" s="62" t="s">
        <v>132</v>
      </c>
      <c r="AH286" s="65" t="s">
        <v>970</v>
      </c>
      <c r="AI286" s="143"/>
    </row>
    <row r="287" spans="1:35" s="123" customFormat="1" ht="66.75" customHeight="1" x14ac:dyDescent="0.2">
      <c r="A287" s="83">
        <v>285</v>
      </c>
      <c r="B287" s="66" t="s">
        <v>1766</v>
      </c>
      <c r="C287" s="67" t="s">
        <v>112</v>
      </c>
      <c r="D287" s="68">
        <v>46260</v>
      </c>
      <c r="E287" s="65" t="s">
        <v>1767</v>
      </c>
      <c r="F287" s="36"/>
      <c r="G287" s="83" t="s">
        <v>1768</v>
      </c>
      <c r="H287" s="65" t="s">
        <v>1769</v>
      </c>
      <c r="I287" s="65" t="s">
        <v>198</v>
      </c>
      <c r="J287" s="68">
        <v>46260</v>
      </c>
      <c r="K287" s="62" t="s">
        <v>2</v>
      </c>
      <c r="L287" s="65" t="s">
        <v>196</v>
      </c>
      <c r="M287" s="65" t="s">
        <v>1870</v>
      </c>
      <c r="N287" s="65" t="s">
        <v>196</v>
      </c>
      <c r="O287" s="65" t="s">
        <v>196</v>
      </c>
      <c r="P287" s="65" t="s">
        <v>196</v>
      </c>
      <c r="Q287" s="65" t="s">
        <v>196</v>
      </c>
      <c r="R287" s="65" t="s">
        <v>196</v>
      </c>
      <c r="S287" s="65" t="s">
        <v>196</v>
      </c>
      <c r="T287" s="65" t="s">
        <v>196</v>
      </c>
      <c r="U287" s="65" t="s">
        <v>196</v>
      </c>
      <c r="V287" s="65" t="s">
        <v>176</v>
      </c>
      <c r="W287" s="65" t="s">
        <v>598</v>
      </c>
      <c r="X287" s="65" t="s">
        <v>1048</v>
      </c>
      <c r="Y287" s="65"/>
      <c r="Z287" s="65"/>
      <c r="AA287" s="65"/>
      <c r="AB287" s="65"/>
      <c r="AC287" s="65"/>
      <c r="AD287" s="89"/>
      <c r="AE287" s="89"/>
      <c r="AF287" s="84"/>
      <c r="AG287" s="65" t="s">
        <v>196</v>
      </c>
      <c r="AH287" s="65" t="s">
        <v>196</v>
      </c>
      <c r="AI287" s="9"/>
    </row>
    <row r="288" spans="1:35" s="123" customFormat="1" ht="41.25" customHeight="1" x14ac:dyDescent="0.2">
      <c r="A288" s="83">
        <v>286</v>
      </c>
      <c r="B288" s="66" t="s">
        <v>1801</v>
      </c>
      <c r="C288" s="67" t="s">
        <v>113</v>
      </c>
      <c r="D288" s="68">
        <v>46266</v>
      </c>
      <c r="E288" s="65" t="s">
        <v>1807</v>
      </c>
      <c r="F288" s="36" t="s">
        <v>1386</v>
      </c>
      <c r="G288" s="83" t="s">
        <v>1809</v>
      </c>
      <c r="H288" s="65" t="s">
        <v>140</v>
      </c>
      <c r="I288" s="65" t="s">
        <v>198</v>
      </c>
      <c r="J288" s="68">
        <v>46266</v>
      </c>
      <c r="K288" s="62" t="s">
        <v>170</v>
      </c>
      <c r="L288" s="65"/>
      <c r="M288" s="65"/>
      <c r="N288" s="83"/>
      <c r="O288" s="83"/>
      <c r="P288" s="65"/>
      <c r="Q288" s="65"/>
      <c r="R288" s="65"/>
      <c r="S288" s="65"/>
      <c r="T288" s="65"/>
      <c r="U288" s="65"/>
      <c r="V288" s="65" t="s">
        <v>173</v>
      </c>
      <c r="W288" s="65" t="s">
        <v>599</v>
      </c>
      <c r="X288" s="98" t="s">
        <v>1039</v>
      </c>
      <c r="Y288" s="98" t="s">
        <v>49</v>
      </c>
      <c r="Z288" s="65" t="s">
        <v>1808</v>
      </c>
      <c r="AA288" s="65"/>
      <c r="AB288" s="65"/>
      <c r="AC288" s="65"/>
      <c r="AD288" s="89"/>
      <c r="AE288" s="89"/>
      <c r="AF288" s="84"/>
      <c r="AG288" s="62" t="s">
        <v>134</v>
      </c>
      <c r="AH288" s="65" t="s">
        <v>840</v>
      </c>
      <c r="AI288" s="9"/>
    </row>
    <row r="289" spans="1:35" s="123" customFormat="1" ht="66.75" customHeight="1" x14ac:dyDescent="0.2">
      <c r="A289" s="83">
        <v>287</v>
      </c>
      <c r="B289" s="66" t="s">
        <v>1802</v>
      </c>
      <c r="C289" s="67" t="s">
        <v>113</v>
      </c>
      <c r="D289" s="68">
        <v>46266</v>
      </c>
      <c r="E289" s="65" t="s">
        <v>1810</v>
      </c>
      <c r="F289" s="36" t="s">
        <v>1379</v>
      </c>
      <c r="G289" s="83" t="s">
        <v>1811</v>
      </c>
      <c r="H289" s="65" t="s">
        <v>168</v>
      </c>
      <c r="I289" s="65" t="s">
        <v>198</v>
      </c>
      <c r="J289" s="68">
        <v>46266</v>
      </c>
      <c r="K289" s="62" t="s">
        <v>170</v>
      </c>
      <c r="L289" s="65"/>
      <c r="M289" s="65"/>
      <c r="N289" s="83"/>
      <c r="O289" s="83"/>
      <c r="P289" s="65"/>
      <c r="Q289" s="65"/>
      <c r="R289" s="65"/>
      <c r="S289" s="65"/>
      <c r="T289" s="65"/>
      <c r="U289" s="65"/>
      <c r="V289" s="65" t="s">
        <v>179</v>
      </c>
      <c r="W289" s="65" t="s">
        <v>599</v>
      </c>
      <c r="X289" s="98" t="s">
        <v>1043</v>
      </c>
      <c r="Y289" s="98" t="s">
        <v>38</v>
      </c>
      <c r="Z289" s="65"/>
      <c r="AA289" s="65"/>
      <c r="AB289" s="65"/>
      <c r="AC289" s="65"/>
      <c r="AD289" s="89">
        <v>1</v>
      </c>
      <c r="AE289" s="89"/>
      <c r="AF289" s="84"/>
      <c r="AG289" s="62" t="s">
        <v>133</v>
      </c>
      <c r="AH289" s="65" t="s">
        <v>819</v>
      </c>
      <c r="AI289" s="9"/>
    </row>
    <row r="290" spans="1:35" s="123" customFormat="1" ht="66.75" customHeight="1" x14ac:dyDescent="0.2">
      <c r="A290" s="83">
        <v>288</v>
      </c>
      <c r="B290" s="66" t="s">
        <v>1803</v>
      </c>
      <c r="C290" s="67" t="s">
        <v>113</v>
      </c>
      <c r="D290" s="68">
        <v>46266</v>
      </c>
      <c r="E290" s="65" t="s">
        <v>1812</v>
      </c>
      <c r="F290" s="36" t="s">
        <v>1057</v>
      </c>
      <c r="G290" s="83" t="s">
        <v>1813</v>
      </c>
      <c r="H290" s="65" t="s">
        <v>4</v>
      </c>
      <c r="I290" s="65" t="s">
        <v>202</v>
      </c>
      <c r="J290" s="68">
        <v>46266</v>
      </c>
      <c r="K290" s="62" t="s">
        <v>2</v>
      </c>
      <c r="L290" s="65" t="s">
        <v>196</v>
      </c>
      <c r="M290" s="65" t="s">
        <v>1871</v>
      </c>
      <c r="N290" s="83" t="s">
        <v>196</v>
      </c>
      <c r="O290" s="83" t="s">
        <v>196</v>
      </c>
      <c r="P290" s="83" t="s">
        <v>196</v>
      </c>
      <c r="Q290" s="83" t="s">
        <v>196</v>
      </c>
      <c r="R290" s="83" t="s">
        <v>196</v>
      </c>
      <c r="S290" s="83" t="s">
        <v>196</v>
      </c>
      <c r="T290" s="83" t="s">
        <v>196</v>
      </c>
      <c r="U290" s="83" t="s">
        <v>196</v>
      </c>
      <c r="V290" s="65" t="s">
        <v>176</v>
      </c>
      <c r="W290" s="65" t="s">
        <v>598</v>
      </c>
      <c r="X290" s="65" t="s">
        <v>1047</v>
      </c>
      <c r="Y290" s="65"/>
      <c r="Z290" s="65"/>
      <c r="AA290" s="65"/>
      <c r="AB290" s="65"/>
      <c r="AC290" s="65"/>
      <c r="AD290" s="89">
        <v>1</v>
      </c>
      <c r="AE290" s="89"/>
      <c r="AF290" s="84"/>
      <c r="AG290" s="65" t="s">
        <v>196</v>
      </c>
      <c r="AH290" s="65" t="s">
        <v>196</v>
      </c>
      <c r="AI290" s="9"/>
    </row>
    <row r="291" spans="1:35" s="123" customFormat="1" ht="51" customHeight="1" x14ac:dyDescent="0.2">
      <c r="A291" s="83">
        <v>289</v>
      </c>
      <c r="B291" s="66" t="s">
        <v>1830</v>
      </c>
      <c r="C291" s="67" t="s">
        <v>113</v>
      </c>
      <c r="D291" s="68">
        <v>46268</v>
      </c>
      <c r="E291" s="65" t="s">
        <v>1834</v>
      </c>
      <c r="F291" s="36" t="s">
        <v>1379</v>
      </c>
      <c r="G291" s="83" t="s">
        <v>1835</v>
      </c>
      <c r="H291" s="65" t="s">
        <v>168</v>
      </c>
      <c r="I291" s="65" t="s">
        <v>198</v>
      </c>
      <c r="J291" s="68">
        <v>46269</v>
      </c>
      <c r="K291" s="62" t="s">
        <v>170</v>
      </c>
      <c r="L291" s="65" t="s">
        <v>1668</v>
      </c>
      <c r="M291" s="65"/>
      <c r="N291" s="83"/>
      <c r="O291" s="83"/>
      <c r="P291" s="65"/>
      <c r="Q291" s="65"/>
      <c r="R291" s="65"/>
      <c r="S291" s="65"/>
      <c r="T291" s="65"/>
      <c r="U291" s="65"/>
      <c r="V291" s="65" t="s">
        <v>176</v>
      </c>
      <c r="W291" s="65" t="s">
        <v>598</v>
      </c>
      <c r="X291" s="65" t="s">
        <v>1048</v>
      </c>
      <c r="Y291" s="65"/>
      <c r="Z291" s="65"/>
      <c r="AA291" s="65"/>
      <c r="AB291" s="65"/>
      <c r="AC291" s="65"/>
      <c r="AD291" s="89"/>
      <c r="AE291" s="89"/>
      <c r="AF291" s="84"/>
      <c r="AG291" s="65" t="s">
        <v>196</v>
      </c>
      <c r="AH291" s="65" t="s">
        <v>196</v>
      </c>
      <c r="AI291" s="9"/>
    </row>
    <row r="292" spans="1:35" s="123" customFormat="1" ht="57.75" customHeight="1" x14ac:dyDescent="0.2">
      <c r="A292" s="83">
        <v>290</v>
      </c>
      <c r="B292" s="66" t="s">
        <v>1831</v>
      </c>
      <c r="C292" s="67" t="s">
        <v>113</v>
      </c>
      <c r="D292" s="68">
        <v>46268</v>
      </c>
      <c r="E292" s="65" t="s">
        <v>1836</v>
      </c>
      <c r="F292" s="36" t="s">
        <v>1379</v>
      </c>
      <c r="G292" s="83" t="s">
        <v>1838</v>
      </c>
      <c r="H292" s="65" t="s">
        <v>168</v>
      </c>
      <c r="I292" s="65" t="s">
        <v>198</v>
      </c>
      <c r="J292" s="68">
        <v>46269</v>
      </c>
      <c r="K292" s="62" t="s">
        <v>170</v>
      </c>
      <c r="L292" s="65" t="s">
        <v>1323</v>
      </c>
      <c r="M292" s="65"/>
      <c r="N292" s="83" t="s">
        <v>196</v>
      </c>
      <c r="O292" s="83" t="s">
        <v>196</v>
      </c>
      <c r="P292" s="83" t="s">
        <v>196</v>
      </c>
      <c r="Q292" s="83" t="s">
        <v>196</v>
      </c>
      <c r="R292" s="83" t="s">
        <v>196</v>
      </c>
      <c r="S292" s="83" t="s">
        <v>196</v>
      </c>
      <c r="T292" s="83" t="s">
        <v>196</v>
      </c>
      <c r="U292" s="83" t="s">
        <v>196</v>
      </c>
      <c r="V292" s="65" t="s">
        <v>176</v>
      </c>
      <c r="W292" s="65" t="s">
        <v>598</v>
      </c>
      <c r="X292" s="65" t="s">
        <v>1048</v>
      </c>
      <c r="Y292" s="65"/>
      <c r="Z292" s="65"/>
      <c r="AA292" s="65"/>
      <c r="AB292" s="65"/>
      <c r="AC292" s="65"/>
      <c r="AD292" s="89"/>
      <c r="AE292" s="89"/>
      <c r="AF292" s="84"/>
      <c r="AG292" s="65" t="s">
        <v>196</v>
      </c>
      <c r="AH292" s="65" t="s">
        <v>196</v>
      </c>
      <c r="AI292" s="9"/>
    </row>
    <row r="293" spans="1:35" s="123" customFormat="1" ht="66.75" customHeight="1" x14ac:dyDescent="0.2">
      <c r="A293" s="83">
        <v>291</v>
      </c>
      <c r="B293" s="66" t="s">
        <v>1832</v>
      </c>
      <c r="C293" s="67" t="s">
        <v>113</v>
      </c>
      <c r="D293" s="68">
        <v>46268</v>
      </c>
      <c r="E293" s="65" t="s">
        <v>1839</v>
      </c>
      <c r="F293" s="36" t="s">
        <v>1379</v>
      </c>
      <c r="G293" s="83" t="s">
        <v>1840</v>
      </c>
      <c r="H293" s="65" t="s">
        <v>168</v>
      </c>
      <c r="I293" s="65" t="s">
        <v>198</v>
      </c>
      <c r="J293" s="68">
        <v>46269</v>
      </c>
      <c r="K293" s="62" t="s">
        <v>2</v>
      </c>
      <c r="L293" s="65" t="s">
        <v>1341</v>
      </c>
      <c r="M293" s="65" t="s">
        <v>241</v>
      </c>
      <c r="N293" s="83" t="s">
        <v>196</v>
      </c>
      <c r="O293" s="83" t="s">
        <v>196</v>
      </c>
      <c r="P293" s="83" t="s">
        <v>196</v>
      </c>
      <c r="Q293" s="83" t="s">
        <v>196</v>
      </c>
      <c r="R293" s="83" t="s">
        <v>196</v>
      </c>
      <c r="S293" s="83" t="s">
        <v>196</v>
      </c>
      <c r="T293" s="83" t="s">
        <v>196</v>
      </c>
      <c r="U293" s="83" t="s">
        <v>196</v>
      </c>
      <c r="V293" s="65" t="s">
        <v>176</v>
      </c>
      <c r="W293" s="65" t="s">
        <v>598</v>
      </c>
      <c r="X293" s="65" t="s">
        <v>1048</v>
      </c>
      <c r="Y293" s="65"/>
      <c r="Z293" s="65"/>
      <c r="AA293" s="65"/>
      <c r="AB293" s="65"/>
      <c r="AC293" s="65"/>
      <c r="AD293" s="89"/>
      <c r="AE293" s="89"/>
      <c r="AF293" s="84"/>
      <c r="AG293" s="65" t="s">
        <v>196</v>
      </c>
      <c r="AH293" s="65" t="s">
        <v>196</v>
      </c>
      <c r="AI293" s="9"/>
    </row>
    <row r="294" spans="1:35" s="123" customFormat="1" ht="66.75" customHeight="1" x14ac:dyDescent="0.2">
      <c r="A294" s="83">
        <v>292</v>
      </c>
      <c r="B294" s="66" t="s">
        <v>1833</v>
      </c>
      <c r="C294" s="67" t="s">
        <v>113</v>
      </c>
      <c r="D294" s="68">
        <v>46268</v>
      </c>
      <c r="E294" s="65" t="s">
        <v>1842</v>
      </c>
      <c r="F294" s="36" t="s">
        <v>1056</v>
      </c>
      <c r="G294" s="83" t="s">
        <v>1843</v>
      </c>
      <c r="H294" s="65" t="s">
        <v>4</v>
      </c>
      <c r="I294" s="65" t="s">
        <v>195</v>
      </c>
      <c r="J294" s="68">
        <v>46269</v>
      </c>
      <c r="K294" s="62" t="s">
        <v>2</v>
      </c>
      <c r="L294" s="65" t="s">
        <v>196</v>
      </c>
      <c r="M294" s="65" t="s">
        <v>241</v>
      </c>
      <c r="N294" s="83" t="s">
        <v>196</v>
      </c>
      <c r="O294" s="83" t="s">
        <v>196</v>
      </c>
      <c r="P294" s="83" t="s">
        <v>196</v>
      </c>
      <c r="Q294" s="83" t="s">
        <v>196</v>
      </c>
      <c r="R294" s="83" t="s">
        <v>196</v>
      </c>
      <c r="S294" s="83" t="s">
        <v>196</v>
      </c>
      <c r="T294" s="83" t="s">
        <v>196</v>
      </c>
      <c r="U294" s="83" t="s">
        <v>196</v>
      </c>
      <c r="V294" s="65" t="s">
        <v>178</v>
      </c>
      <c r="W294" s="65" t="s">
        <v>598</v>
      </c>
      <c r="X294" s="65" t="s">
        <v>1047</v>
      </c>
      <c r="Y294" s="65"/>
      <c r="Z294" s="65"/>
      <c r="AA294" s="65"/>
      <c r="AB294" s="65"/>
      <c r="AC294" s="65"/>
      <c r="AD294" s="89"/>
      <c r="AE294" s="89"/>
      <c r="AF294" s="84"/>
      <c r="AG294" s="65" t="s">
        <v>196</v>
      </c>
      <c r="AH294" s="65" t="s">
        <v>196</v>
      </c>
      <c r="AI294" s="9"/>
    </row>
    <row r="295" spans="1:35" s="123" customFormat="1" ht="39.75" customHeight="1" x14ac:dyDescent="0.2">
      <c r="A295" s="83">
        <v>293</v>
      </c>
      <c r="B295" s="66" t="s">
        <v>1844</v>
      </c>
      <c r="C295" s="67" t="s">
        <v>113</v>
      </c>
      <c r="D295" s="68">
        <v>46273</v>
      </c>
      <c r="E295" s="65" t="s">
        <v>1845</v>
      </c>
      <c r="F295" s="36" t="s">
        <v>1386</v>
      </c>
      <c r="G295" s="83" t="s">
        <v>1846</v>
      </c>
      <c r="H295" s="65" t="s">
        <v>140</v>
      </c>
      <c r="I295" s="65" t="s">
        <v>202</v>
      </c>
      <c r="J295" s="68">
        <v>46273</v>
      </c>
      <c r="K295" s="62" t="s">
        <v>170</v>
      </c>
      <c r="L295" s="83" t="s">
        <v>1509</v>
      </c>
      <c r="M295" s="65"/>
      <c r="N295" s="83" t="s">
        <v>196</v>
      </c>
      <c r="O295" s="83" t="s">
        <v>196</v>
      </c>
      <c r="P295" s="83" t="s">
        <v>196</v>
      </c>
      <c r="Q295" s="83" t="s">
        <v>196</v>
      </c>
      <c r="R295" s="83" t="s">
        <v>196</v>
      </c>
      <c r="S295" s="83" t="s">
        <v>196</v>
      </c>
      <c r="T295" s="83" t="s">
        <v>196</v>
      </c>
      <c r="U295" s="83" t="s">
        <v>196</v>
      </c>
      <c r="V295" s="65" t="s">
        <v>176</v>
      </c>
      <c r="W295" s="65" t="s">
        <v>598</v>
      </c>
      <c r="X295" s="65" t="s">
        <v>1048</v>
      </c>
      <c r="Y295" s="65"/>
      <c r="Z295" s="65"/>
      <c r="AA295" s="65"/>
      <c r="AB295" s="65"/>
      <c r="AC295" s="65"/>
      <c r="AD295" s="89"/>
      <c r="AE295" s="89"/>
      <c r="AF295" s="84"/>
      <c r="AG295" s="65" t="s">
        <v>196</v>
      </c>
      <c r="AH295" s="65" t="s">
        <v>196</v>
      </c>
      <c r="AI295" s="9"/>
    </row>
    <row r="296" spans="1:35" s="123" customFormat="1" ht="51.75" customHeight="1" x14ac:dyDescent="0.2">
      <c r="A296" s="83">
        <v>294</v>
      </c>
      <c r="B296" s="66" t="s">
        <v>1847</v>
      </c>
      <c r="C296" s="67" t="s">
        <v>113</v>
      </c>
      <c r="D296" s="68">
        <v>46273</v>
      </c>
      <c r="E296" s="65" t="s">
        <v>1848</v>
      </c>
      <c r="F296" s="36" t="s">
        <v>1849</v>
      </c>
      <c r="G296" s="83" t="s">
        <v>1850</v>
      </c>
      <c r="H296" s="65" t="s">
        <v>1851</v>
      </c>
      <c r="I296" s="65" t="s">
        <v>198</v>
      </c>
      <c r="J296" s="68">
        <v>46273</v>
      </c>
      <c r="K296" s="62" t="s">
        <v>2</v>
      </c>
      <c r="L296" s="65" t="s">
        <v>1876</v>
      </c>
      <c r="M296" s="65" t="s">
        <v>1877</v>
      </c>
      <c r="N296" s="83" t="s">
        <v>196</v>
      </c>
      <c r="O296" s="83" t="s">
        <v>196</v>
      </c>
      <c r="P296" s="83" t="s">
        <v>196</v>
      </c>
      <c r="Q296" s="83" t="s">
        <v>196</v>
      </c>
      <c r="R296" s="83" t="s">
        <v>196</v>
      </c>
      <c r="S296" s="83" t="s">
        <v>196</v>
      </c>
      <c r="T296" s="83" t="s">
        <v>196</v>
      </c>
      <c r="U296" s="83" t="s">
        <v>196</v>
      </c>
      <c r="V296" s="65" t="s">
        <v>175</v>
      </c>
      <c r="W296" s="65" t="s">
        <v>598</v>
      </c>
      <c r="X296" s="65" t="s">
        <v>1047</v>
      </c>
      <c r="Y296" s="65"/>
      <c r="Z296" s="65"/>
      <c r="AA296" s="65"/>
      <c r="AB296" s="65"/>
      <c r="AC296" s="65"/>
      <c r="AD296" s="89"/>
      <c r="AE296" s="89"/>
      <c r="AF296" s="84"/>
      <c r="AG296" s="65" t="s">
        <v>196</v>
      </c>
      <c r="AH296" s="65" t="s">
        <v>196</v>
      </c>
      <c r="AI296" s="9"/>
    </row>
    <row r="297" spans="1:35" s="123" customFormat="1" ht="66.75" customHeight="1" x14ac:dyDescent="0.2">
      <c r="A297" s="83">
        <v>295</v>
      </c>
      <c r="B297" s="66" t="s">
        <v>1852</v>
      </c>
      <c r="C297" s="67" t="s">
        <v>113</v>
      </c>
      <c r="D297" s="68">
        <v>46273</v>
      </c>
      <c r="E297" s="65" t="s">
        <v>1853</v>
      </c>
      <c r="F297" s="36" t="s">
        <v>650</v>
      </c>
      <c r="G297" s="83" t="s">
        <v>1854</v>
      </c>
      <c r="H297" s="65" t="s">
        <v>1769</v>
      </c>
      <c r="I297" s="65" t="s">
        <v>202</v>
      </c>
      <c r="J297" s="68">
        <v>46274</v>
      </c>
      <c r="K297" s="62" t="s">
        <v>2</v>
      </c>
      <c r="L297" s="65" t="s">
        <v>196</v>
      </c>
      <c r="M297" s="65" t="s">
        <v>1855</v>
      </c>
      <c r="N297" s="83" t="s">
        <v>196</v>
      </c>
      <c r="O297" s="83" t="s">
        <v>196</v>
      </c>
      <c r="P297" s="83" t="s">
        <v>196</v>
      </c>
      <c r="Q297" s="83" t="s">
        <v>196</v>
      </c>
      <c r="R297" s="83" t="s">
        <v>196</v>
      </c>
      <c r="S297" s="83" t="s">
        <v>196</v>
      </c>
      <c r="T297" s="83" t="s">
        <v>196</v>
      </c>
      <c r="U297" s="83" t="s">
        <v>196</v>
      </c>
      <c r="V297" s="65" t="s">
        <v>175</v>
      </c>
      <c r="W297" s="65" t="s">
        <v>598</v>
      </c>
      <c r="X297" s="65" t="s">
        <v>1047</v>
      </c>
      <c r="Y297" s="65"/>
      <c r="Z297" s="65"/>
      <c r="AA297" s="65"/>
      <c r="AB297" s="65"/>
      <c r="AC297" s="65"/>
      <c r="AD297" s="89"/>
      <c r="AE297" s="89"/>
      <c r="AF297" s="84"/>
      <c r="AG297" s="65" t="s">
        <v>196</v>
      </c>
      <c r="AH297" s="65" t="s">
        <v>196</v>
      </c>
      <c r="AI297" s="9"/>
    </row>
    <row r="298" spans="1:35" s="123" customFormat="1" ht="50.25" customHeight="1" x14ac:dyDescent="0.2">
      <c r="A298" s="83">
        <v>296</v>
      </c>
      <c r="B298" s="66" t="s">
        <v>1856</v>
      </c>
      <c r="C298" s="67" t="s">
        <v>113</v>
      </c>
      <c r="D298" s="68">
        <v>46274</v>
      </c>
      <c r="E298" s="67" t="s">
        <v>1857</v>
      </c>
      <c r="F298" s="36" t="s">
        <v>1858</v>
      </c>
      <c r="G298" s="83" t="s">
        <v>1860</v>
      </c>
      <c r="H298" s="65" t="s">
        <v>140</v>
      </c>
      <c r="I298" s="65" t="s">
        <v>202</v>
      </c>
      <c r="J298" s="68">
        <v>46274</v>
      </c>
      <c r="K298" s="62" t="s">
        <v>170</v>
      </c>
      <c r="L298" s="65" t="s">
        <v>1355</v>
      </c>
      <c r="M298" s="65"/>
      <c r="N298" s="83" t="s">
        <v>196</v>
      </c>
      <c r="O298" s="83" t="s">
        <v>196</v>
      </c>
      <c r="P298" s="83" t="s">
        <v>196</v>
      </c>
      <c r="Q298" s="83" t="s">
        <v>196</v>
      </c>
      <c r="R298" s="83" t="s">
        <v>196</v>
      </c>
      <c r="S298" s="83" t="s">
        <v>196</v>
      </c>
      <c r="T298" s="83" t="s">
        <v>196</v>
      </c>
      <c r="U298" s="83" t="s">
        <v>196</v>
      </c>
      <c r="V298" s="65" t="s">
        <v>176</v>
      </c>
      <c r="W298" s="65" t="s">
        <v>598</v>
      </c>
      <c r="X298" s="65" t="s">
        <v>1048</v>
      </c>
      <c r="Y298" s="65"/>
      <c r="Z298" s="65"/>
      <c r="AA298" s="65"/>
      <c r="AB298" s="65"/>
      <c r="AC298" s="65"/>
      <c r="AD298" s="89"/>
      <c r="AE298" s="89"/>
      <c r="AF298" s="84"/>
      <c r="AG298" s="65" t="s">
        <v>196</v>
      </c>
      <c r="AH298" s="65" t="s">
        <v>196</v>
      </c>
      <c r="AI298" s="9"/>
    </row>
    <row r="299" spans="1:35" s="123" customFormat="1" ht="42.75" customHeight="1" x14ac:dyDescent="0.2">
      <c r="A299" s="83">
        <v>297</v>
      </c>
      <c r="B299" s="66" t="s">
        <v>1861</v>
      </c>
      <c r="C299" s="67" t="s">
        <v>113</v>
      </c>
      <c r="D299" s="68">
        <v>46276</v>
      </c>
      <c r="E299" s="68" t="s">
        <v>1862</v>
      </c>
      <c r="F299" s="36" t="s">
        <v>163</v>
      </c>
      <c r="G299" s="83" t="s">
        <v>1863</v>
      </c>
      <c r="H299" s="65" t="s">
        <v>148</v>
      </c>
      <c r="I299" s="65" t="s">
        <v>198</v>
      </c>
      <c r="J299" s="68">
        <v>46276</v>
      </c>
      <c r="K299" s="62" t="s">
        <v>170</v>
      </c>
      <c r="L299" s="65" t="s">
        <v>1872</v>
      </c>
      <c r="M299" s="65"/>
      <c r="N299" s="83" t="s">
        <v>196</v>
      </c>
      <c r="O299" s="83" t="s">
        <v>196</v>
      </c>
      <c r="P299" s="83" t="s">
        <v>196</v>
      </c>
      <c r="Q299" s="83" t="s">
        <v>196</v>
      </c>
      <c r="R299" s="83" t="s">
        <v>196</v>
      </c>
      <c r="S299" s="83" t="s">
        <v>196</v>
      </c>
      <c r="T299" s="83" t="s">
        <v>196</v>
      </c>
      <c r="U299" s="83" t="s">
        <v>196</v>
      </c>
      <c r="V299" s="65" t="s">
        <v>175</v>
      </c>
      <c r="W299" s="65" t="s">
        <v>598</v>
      </c>
      <c r="X299" s="65" t="s">
        <v>1047</v>
      </c>
      <c r="Y299" s="65"/>
      <c r="Z299" s="65"/>
      <c r="AA299" s="65"/>
      <c r="AB299" s="65"/>
      <c r="AC299" s="65"/>
      <c r="AD299" s="89"/>
      <c r="AE299" s="89"/>
      <c r="AF299" s="84"/>
      <c r="AG299" s="65" t="s">
        <v>196</v>
      </c>
      <c r="AH299" s="65" t="s">
        <v>196</v>
      </c>
      <c r="AI299" s="9"/>
    </row>
    <row r="300" spans="1:35" x14ac:dyDescent="0.2">
      <c r="L300" s="17"/>
      <c r="M300" s="17"/>
      <c r="N300" s="17"/>
      <c r="O300" s="17"/>
      <c r="P300" s="17"/>
      <c r="Q300" s="17"/>
      <c r="R300" s="17"/>
      <c r="S300" s="17"/>
      <c r="T300" s="17"/>
      <c r="U300" s="17"/>
      <c r="V300" s="17"/>
      <c r="Y300" s="17"/>
      <c r="AE300" s="16"/>
      <c r="AH300" s="17"/>
    </row>
    <row r="301" spans="1:35" x14ac:dyDescent="0.2">
      <c r="L301" s="17"/>
      <c r="M301" s="17"/>
      <c r="N301" s="17"/>
      <c r="O301" s="17"/>
      <c r="P301" s="17"/>
      <c r="Q301" s="17"/>
      <c r="R301" s="17"/>
      <c r="S301" s="17"/>
      <c r="T301" s="17"/>
      <c r="U301" s="17"/>
      <c r="V301" s="17"/>
      <c r="Y301" s="17"/>
      <c r="AE301" s="16"/>
      <c r="AH301" s="17"/>
    </row>
    <row r="302" spans="1:35" x14ac:dyDescent="0.2">
      <c r="L302" s="17"/>
      <c r="M302" s="17"/>
      <c r="N302" s="17"/>
      <c r="O302" s="17"/>
      <c r="P302" s="17"/>
      <c r="Q302" s="17"/>
      <c r="R302" s="17"/>
      <c r="S302" s="17"/>
      <c r="T302" s="17"/>
      <c r="U302" s="17"/>
      <c r="V302" s="17"/>
      <c r="Y302" s="17"/>
      <c r="AE302" s="16"/>
      <c r="AH302" s="17"/>
    </row>
    <row r="303" spans="1:35" x14ac:dyDescent="0.2">
      <c r="L303" s="17"/>
      <c r="M303" s="17"/>
      <c r="N303" s="17"/>
      <c r="O303" s="17"/>
      <c r="P303" s="17"/>
      <c r="Q303" s="17"/>
      <c r="R303" s="17"/>
      <c r="S303" s="17"/>
      <c r="T303" s="17"/>
      <c r="U303" s="17"/>
      <c r="V303" s="17"/>
      <c r="Y303" s="17"/>
      <c r="AE303" s="16"/>
      <c r="AH303" s="17"/>
    </row>
    <row r="304" spans="1:35" x14ac:dyDescent="0.2">
      <c r="L304" s="17"/>
      <c r="M304" s="17"/>
      <c r="N304" s="17"/>
      <c r="O304" s="17"/>
      <c r="P304" s="17"/>
      <c r="Q304" s="17"/>
      <c r="R304" s="17"/>
      <c r="S304" s="17"/>
      <c r="T304" s="17"/>
      <c r="U304" s="17"/>
      <c r="V304" s="17"/>
      <c r="Y304" s="17"/>
      <c r="AE304" s="16"/>
      <c r="AH304" s="17"/>
    </row>
    <row r="305" spans="12:34" x14ac:dyDescent="0.2">
      <c r="L305" s="17"/>
      <c r="M305" s="17"/>
      <c r="N305" s="17"/>
      <c r="O305" s="17"/>
      <c r="P305" s="17"/>
      <c r="Q305" s="17"/>
      <c r="R305" s="17"/>
      <c r="S305" s="17"/>
      <c r="T305" s="17"/>
      <c r="U305" s="17"/>
      <c r="V305" s="17"/>
      <c r="Y305" s="17"/>
      <c r="AE305" s="16"/>
      <c r="AH305" s="17"/>
    </row>
    <row r="306" spans="12:34" x14ac:dyDescent="0.2">
      <c r="L306" s="17"/>
      <c r="M306" s="17"/>
      <c r="N306" s="17"/>
      <c r="O306" s="17"/>
      <c r="P306" s="17"/>
      <c r="Q306" s="17"/>
      <c r="R306" s="17"/>
      <c r="S306" s="17"/>
      <c r="T306" s="17"/>
      <c r="U306" s="17"/>
      <c r="V306" s="17"/>
      <c r="Y306" s="17"/>
      <c r="AE306" s="16"/>
      <c r="AH306" s="17"/>
    </row>
    <row r="307" spans="12:34" x14ac:dyDescent="0.2">
      <c r="L307" s="17"/>
      <c r="M307" s="17"/>
      <c r="N307" s="17"/>
      <c r="O307" s="17"/>
      <c r="P307" s="17"/>
      <c r="Q307" s="17"/>
      <c r="R307" s="17"/>
      <c r="S307" s="17"/>
      <c r="T307" s="17"/>
      <c r="U307" s="17"/>
      <c r="V307" s="17"/>
      <c r="Y307" s="17"/>
      <c r="AE307" s="16"/>
      <c r="AH307" s="17"/>
    </row>
    <row r="308" spans="12:34" x14ac:dyDescent="0.2">
      <c r="L308" s="17"/>
      <c r="M308" s="17"/>
      <c r="N308" s="17"/>
      <c r="O308" s="17"/>
      <c r="P308" s="17"/>
      <c r="Q308" s="17"/>
      <c r="R308" s="17"/>
      <c r="S308" s="17"/>
      <c r="T308" s="17"/>
      <c r="U308" s="17"/>
      <c r="V308" s="17"/>
      <c r="Y308" s="17"/>
      <c r="AE308" s="16"/>
      <c r="AH308" s="17"/>
    </row>
    <row r="309" spans="12:34" x14ac:dyDescent="0.2">
      <c r="L309" s="17"/>
      <c r="M309" s="17"/>
      <c r="N309" s="17"/>
      <c r="O309" s="17"/>
      <c r="P309" s="17"/>
      <c r="Q309" s="17"/>
      <c r="R309" s="17"/>
      <c r="S309" s="17"/>
      <c r="T309" s="17"/>
      <c r="U309" s="17"/>
      <c r="V309" s="17"/>
      <c r="Y309" s="17"/>
      <c r="AE309" s="16"/>
      <c r="AH309" s="17"/>
    </row>
    <row r="310" spans="12:34" x14ac:dyDescent="0.2">
      <c r="L310" s="17"/>
      <c r="M310" s="17"/>
      <c r="N310" s="17"/>
      <c r="O310" s="17"/>
      <c r="P310" s="17"/>
      <c r="Q310" s="17"/>
      <c r="R310" s="17"/>
      <c r="S310" s="17"/>
      <c r="T310" s="17"/>
      <c r="U310" s="17"/>
      <c r="V310" s="17"/>
      <c r="Y310" s="17"/>
      <c r="AE310" s="16"/>
      <c r="AH310" s="17"/>
    </row>
    <row r="311" spans="12:34" x14ac:dyDescent="0.2">
      <c r="L311" s="17"/>
      <c r="M311" s="17"/>
      <c r="N311" s="17"/>
      <c r="O311" s="17"/>
      <c r="P311" s="17"/>
      <c r="Q311" s="17"/>
      <c r="R311" s="17"/>
      <c r="S311" s="17"/>
      <c r="T311" s="17"/>
      <c r="U311" s="17"/>
      <c r="V311" s="17"/>
      <c r="Y311" s="17"/>
      <c r="AE311" s="16"/>
      <c r="AH311" s="17"/>
    </row>
    <row r="312" spans="12:34" x14ac:dyDescent="0.2">
      <c r="L312" s="17"/>
      <c r="M312" s="17"/>
      <c r="N312" s="17"/>
      <c r="O312" s="17"/>
      <c r="P312" s="17"/>
      <c r="Q312" s="17"/>
      <c r="R312" s="17"/>
      <c r="S312" s="17"/>
      <c r="T312" s="17"/>
      <c r="U312" s="17"/>
      <c r="V312" s="17"/>
      <c r="Y312" s="17"/>
      <c r="AE312" s="16"/>
      <c r="AH312" s="17"/>
    </row>
    <row r="313" spans="12:34" x14ac:dyDescent="0.2">
      <c r="L313" s="17"/>
      <c r="M313" s="17"/>
      <c r="N313" s="17"/>
      <c r="O313" s="17"/>
      <c r="P313" s="17"/>
      <c r="Q313" s="17"/>
      <c r="R313" s="17"/>
      <c r="S313" s="17"/>
      <c r="T313" s="17"/>
      <c r="U313" s="17"/>
      <c r="V313" s="17"/>
      <c r="Y313" s="17"/>
      <c r="AE313" s="16"/>
      <c r="AH313" s="17"/>
    </row>
    <row r="314" spans="12:34" x14ac:dyDescent="0.2">
      <c r="L314" s="17"/>
      <c r="M314" s="17"/>
      <c r="N314" s="17"/>
      <c r="O314" s="17"/>
      <c r="P314" s="17"/>
      <c r="Q314" s="17"/>
      <c r="R314" s="17"/>
      <c r="S314" s="17"/>
      <c r="T314" s="17"/>
      <c r="U314" s="17"/>
      <c r="V314" s="17"/>
      <c r="Y314" s="17"/>
      <c r="AE314" s="16"/>
      <c r="AH314" s="17"/>
    </row>
    <row r="315" spans="12:34" x14ac:dyDescent="0.2">
      <c r="L315" s="17"/>
      <c r="M315" s="17"/>
      <c r="N315" s="17"/>
      <c r="O315" s="17"/>
      <c r="P315" s="17"/>
      <c r="Q315" s="17"/>
      <c r="R315" s="17"/>
      <c r="S315" s="17"/>
      <c r="T315" s="17"/>
      <c r="U315" s="17"/>
      <c r="V315" s="17"/>
      <c r="Y315" s="17"/>
      <c r="AE315" s="16"/>
      <c r="AH315" s="17"/>
    </row>
    <row r="316" spans="12:34" x14ac:dyDescent="0.2">
      <c r="L316" s="17"/>
      <c r="M316" s="17"/>
      <c r="N316" s="17"/>
      <c r="O316" s="17"/>
      <c r="P316" s="17"/>
      <c r="Q316" s="17"/>
      <c r="R316" s="17"/>
      <c r="S316" s="17"/>
      <c r="T316" s="17"/>
      <c r="U316" s="17"/>
      <c r="V316" s="17"/>
      <c r="Y316" s="17"/>
      <c r="AE316" s="16"/>
      <c r="AH316" s="17"/>
    </row>
    <row r="317" spans="12:34" x14ac:dyDescent="0.2">
      <c r="L317" s="17"/>
      <c r="M317" s="17"/>
      <c r="N317" s="17"/>
      <c r="O317" s="17"/>
      <c r="P317" s="17"/>
      <c r="Q317" s="17"/>
      <c r="R317" s="17"/>
      <c r="S317" s="17"/>
      <c r="T317" s="17"/>
      <c r="U317" s="17"/>
      <c r="V317" s="17"/>
      <c r="Y317" s="17"/>
      <c r="AE317" s="16"/>
      <c r="AH317" s="17"/>
    </row>
    <row r="318" spans="12:34" x14ac:dyDescent="0.2">
      <c r="L318" s="17"/>
      <c r="M318" s="17"/>
      <c r="N318" s="17"/>
      <c r="O318" s="17"/>
      <c r="P318" s="17"/>
      <c r="Q318" s="17"/>
      <c r="R318" s="17"/>
      <c r="S318" s="17"/>
      <c r="T318" s="17"/>
      <c r="U318" s="17"/>
      <c r="V318" s="17"/>
      <c r="Y318" s="17"/>
      <c r="AE318" s="16"/>
      <c r="AH318" s="17"/>
    </row>
    <row r="319" spans="12:34" x14ac:dyDescent="0.2">
      <c r="L319" s="17"/>
      <c r="M319" s="17"/>
      <c r="N319" s="17"/>
      <c r="O319" s="17"/>
      <c r="P319" s="17"/>
      <c r="Q319" s="17"/>
      <c r="R319" s="17"/>
      <c r="S319" s="17"/>
      <c r="T319" s="17"/>
      <c r="U319" s="17"/>
      <c r="V319" s="17"/>
      <c r="Y319" s="17"/>
      <c r="AE319" s="16"/>
      <c r="AH319" s="17"/>
    </row>
    <row r="320" spans="12:34" x14ac:dyDescent="0.2">
      <c r="L320" s="17"/>
      <c r="M320" s="17"/>
      <c r="N320" s="17"/>
      <c r="O320" s="17"/>
      <c r="P320" s="17"/>
      <c r="Q320" s="17"/>
      <c r="R320" s="17"/>
      <c r="S320" s="17"/>
      <c r="T320" s="17"/>
      <c r="U320" s="17"/>
      <c r="V320" s="17"/>
      <c r="Y320" s="17"/>
      <c r="AE320" s="16"/>
      <c r="AH320" s="17"/>
    </row>
    <row r="321" spans="12:34" x14ac:dyDescent="0.2">
      <c r="L321" s="17"/>
      <c r="M321" s="17"/>
      <c r="N321" s="17"/>
      <c r="O321" s="17"/>
      <c r="P321" s="17"/>
      <c r="Q321" s="17"/>
      <c r="R321" s="17"/>
      <c r="S321" s="17"/>
      <c r="T321" s="17"/>
      <c r="U321" s="17"/>
      <c r="V321" s="17"/>
      <c r="Y321" s="17"/>
      <c r="AE321" s="16"/>
      <c r="AH321" s="17"/>
    </row>
    <row r="322" spans="12:34" x14ac:dyDescent="0.2">
      <c r="L322" s="17"/>
      <c r="M322" s="17"/>
      <c r="N322" s="17"/>
      <c r="O322" s="17"/>
      <c r="P322" s="17"/>
      <c r="Q322" s="17"/>
      <c r="R322" s="17"/>
      <c r="S322" s="17"/>
      <c r="T322" s="17"/>
      <c r="U322" s="17"/>
      <c r="V322" s="17"/>
      <c r="Y322" s="17"/>
      <c r="AE322" s="16"/>
      <c r="AH322" s="17"/>
    </row>
    <row r="323" spans="12:34" x14ac:dyDescent="0.2">
      <c r="L323" s="17"/>
      <c r="M323" s="17"/>
      <c r="N323" s="17"/>
      <c r="O323" s="17"/>
      <c r="P323" s="17"/>
      <c r="Q323" s="17"/>
      <c r="R323" s="17"/>
      <c r="S323" s="17"/>
      <c r="T323" s="17"/>
      <c r="U323" s="17"/>
      <c r="V323" s="17"/>
      <c r="Y323" s="17"/>
      <c r="AE323" s="16"/>
      <c r="AH323" s="17"/>
    </row>
    <row r="324" spans="12:34" x14ac:dyDescent="0.2">
      <c r="L324" s="17"/>
      <c r="M324" s="17"/>
      <c r="N324" s="17"/>
      <c r="O324" s="17"/>
      <c r="P324" s="17"/>
      <c r="Q324" s="17"/>
      <c r="R324" s="17"/>
      <c r="S324" s="17"/>
      <c r="T324" s="17"/>
      <c r="U324" s="17"/>
      <c r="V324" s="17"/>
      <c r="Y324" s="17"/>
      <c r="AE324" s="16"/>
      <c r="AH324" s="17"/>
    </row>
    <row r="325" spans="12:34" x14ac:dyDescent="0.2">
      <c r="L325" s="17"/>
      <c r="M325" s="17"/>
      <c r="N325" s="17"/>
      <c r="O325" s="17"/>
      <c r="P325" s="17"/>
      <c r="Q325" s="17"/>
      <c r="R325" s="17"/>
      <c r="S325" s="17"/>
      <c r="T325" s="17"/>
      <c r="U325" s="17"/>
      <c r="V325" s="17"/>
      <c r="Y325" s="17"/>
      <c r="AE325" s="16"/>
      <c r="AH325" s="17"/>
    </row>
    <row r="326" spans="12:34" x14ac:dyDescent="0.2">
      <c r="L326" s="17"/>
      <c r="M326" s="17"/>
      <c r="N326" s="17"/>
      <c r="O326" s="17"/>
      <c r="P326" s="17"/>
      <c r="Q326" s="17"/>
      <c r="R326" s="17"/>
      <c r="S326" s="17"/>
      <c r="T326" s="17"/>
      <c r="U326" s="17"/>
      <c r="V326" s="17"/>
      <c r="Y326" s="17"/>
      <c r="AE326" s="16"/>
      <c r="AH326" s="17"/>
    </row>
    <row r="327" spans="12:34" x14ac:dyDescent="0.2">
      <c r="L327" s="17"/>
      <c r="M327" s="17"/>
      <c r="N327" s="17"/>
      <c r="O327" s="17"/>
      <c r="P327" s="17"/>
      <c r="Q327" s="17"/>
      <c r="R327" s="17"/>
      <c r="S327" s="17"/>
      <c r="T327" s="17"/>
      <c r="U327" s="17"/>
      <c r="V327" s="17"/>
      <c r="Y327" s="17"/>
      <c r="AE327" s="16"/>
      <c r="AH327" s="17"/>
    </row>
    <row r="328" spans="12:34" x14ac:dyDescent="0.2">
      <c r="L328" s="17"/>
      <c r="M328" s="17"/>
      <c r="N328" s="17"/>
      <c r="O328" s="17"/>
      <c r="P328" s="17"/>
      <c r="Q328" s="17"/>
      <c r="R328" s="17"/>
      <c r="S328" s="17"/>
      <c r="T328" s="17"/>
      <c r="U328" s="17"/>
      <c r="V328" s="17"/>
      <c r="Y328" s="17"/>
      <c r="AE328" s="16"/>
      <c r="AH328" s="17"/>
    </row>
    <row r="329" spans="12:34" x14ac:dyDescent="0.2">
      <c r="L329" s="17"/>
      <c r="M329" s="17"/>
      <c r="N329" s="17"/>
      <c r="O329" s="17"/>
      <c r="P329" s="17"/>
      <c r="Q329" s="17"/>
      <c r="R329" s="17"/>
      <c r="S329" s="17"/>
      <c r="T329" s="17"/>
      <c r="U329" s="17"/>
      <c r="V329" s="17"/>
      <c r="Y329" s="17"/>
      <c r="AE329" s="16"/>
      <c r="AH329" s="17"/>
    </row>
    <row r="330" spans="12:34" x14ac:dyDescent="0.2">
      <c r="L330" s="17"/>
      <c r="M330" s="17"/>
      <c r="N330" s="17"/>
      <c r="O330" s="17"/>
      <c r="P330" s="17"/>
      <c r="Q330" s="17"/>
      <c r="R330" s="17"/>
      <c r="S330" s="17"/>
      <c r="T330" s="17"/>
      <c r="U330" s="17"/>
      <c r="V330" s="17"/>
      <c r="Y330" s="17"/>
      <c r="AE330" s="16"/>
      <c r="AH330" s="17"/>
    </row>
    <row r="331" spans="12:34" x14ac:dyDescent="0.2">
      <c r="L331" s="17"/>
      <c r="M331" s="17"/>
      <c r="N331" s="17"/>
      <c r="O331" s="17"/>
      <c r="P331" s="17"/>
      <c r="Q331" s="17"/>
      <c r="R331" s="17"/>
      <c r="S331" s="17"/>
      <c r="T331" s="17"/>
      <c r="U331" s="17"/>
      <c r="V331" s="17"/>
      <c r="Y331" s="17"/>
      <c r="AE331" s="16"/>
      <c r="AH331" s="17"/>
    </row>
    <row r="332" spans="12:34" x14ac:dyDescent="0.2">
      <c r="L332" s="17"/>
      <c r="M332" s="17"/>
      <c r="N332" s="17"/>
      <c r="O332" s="17"/>
      <c r="P332" s="17"/>
      <c r="Q332" s="17"/>
      <c r="R332" s="17"/>
      <c r="S332" s="17"/>
      <c r="T332" s="17"/>
      <c r="U332" s="17"/>
      <c r="V332" s="17"/>
      <c r="Y332" s="17"/>
      <c r="AE332" s="16"/>
      <c r="AH332" s="17"/>
    </row>
    <row r="333" spans="12:34" x14ac:dyDescent="0.2">
      <c r="L333" s="17"/>
      <c r="M333" s="17"/>
      <c r="N333" s="17"/>
      <c r="O333" s="17"/>
      <c r="P333" s="17"/>
      <c r="Q333" s="17"/>
      <c r="R333" s="17"/>
      <c r="S333" s="17"/>
      <c r="T333" s="17"/>
      <c r="U333" s="17"/>
      <c r="V333" s="17"/>
      <c r="Y333" s="17"/>
      <c r="AE333" s="16"/>
      <c r="AH333" s="17"/>
    </row>
    <row r="334" spans="12:34" x14ac:dyDescent="0.2">
      <c r="L334" s="17"/>
      <c r="M334" s="17"/>
      <c r="N334" s="17"/>
      <c r="O334" s="17"/>
      <c r="P334" s="17"/>
      <c r="Q334" s="17"/>
      <c r="R334" s="17"/>
      <c r="S334" s="17"/>
      <c r="T334" s="17"/>
      <c r="U334" s="17"/>
      <c r="V334" s="17"/>
      <c r="Y334" s="17"/>
      <c r="AE334" s="16"/>
      <c r="AH334" s="17"/>
    </row>
    <row r="335" spans="12:34" x14ac:dyDescent="0.2">
      <c r="L335" s="17"/>
      <c r="M335" s="17"/>
      <c r="N335" s="17"/>
      <c r="O335" s="17"/>
      <c r="P335" s="17"/>
      <c r="Q335" s="17"/>
      <c r="R335" s="17"/>
      <c r="S335" s="17"/>
      <c r="T335" s="17"/>
      <c r="U335" s="17"/>
      <c r="V335" s="17"/>
      <c r="Y335" s="17"/>
      <c r="AE335" s="16"/>
      <c r="AH335" s="17"/>
    </row>
    <row r="336" spans="12:34" x14ac:dyDescent="0.2">
      <c r="L336" s="17"/>
      <c r="M336" s="17"/>
      <c r="N336" s="17"/>
      <c r="O336" s="17"/>
      <c r="P336" s="17"/>
      <c r="Q336" s="17"/>
      <c r="R336" s="17"/>
      <c r="S336" s="17"/>
      <c r="T336" s="17"/>
      <c r="U336" s="17"/>
      <c r="V336" s="17"/>
      <c r="Y336" s="17"/>
      <c r="AE336" s="16"/>
      <c r="AH336" s="17"/>
    </row>
    <row r="337" spans="12:34" x14ac:dyDescent="0.2">
      <c r="L337" s="17"/>
      <c r="M337" s="17"/>
      <c r="N337" s="17"/>
      <c r="O337" s="17"/>
      <c r="P337" s="17"/>
      <c r="Q337" s="17"/>
      <c r="R337" s="17"/>
      <c r="S337" s="17"/>
      <c r="T337" s="17"/>
      <c r="U337" s="17"/>
      <c r="V337" s="17"/>
      <c r="Y337" s="17"/>
      <c r="AE337" s="16"/>
      <c r="AH337" s="17"/>
    </row>
    <row r="338" spans="12:34" x14ac:dyDescent="0.2">
      <c r="L338" s="17"/>
      <c r="M338" s="17"/>
      <c r="N338" s="17"/>
      <c r="O338" s="17"/>
      <c r="P338" s="17"/>
      <c r="Q338" s="17"/>
      <c r="R338" s="17"/>
      <c r="S338" s="17"/>
      <c r="T338" s="17"/>
      <c r="U338" s="17"/>
      <c r="V338" s="17"/>
      <c r="Y338" s="17"/>
      <c r="AE338" s="16"/>
      <c r="AH338" s="17"/>
    </row>
    <row r="339" spans="12:34" x14ac:dyDescent="0.2">
      <c r="L339" s="17"/>
      <c r="M339" s="17"/>
      <c r="N339" s="17"/>
      <c r="O339" s="17"/>
      <c r="P339" s="17"/>
      <c r="Q339" s="17"/>
      <c r="R339" s="17"/>
      <c r="S339" s="17"/>
      <c r="T339" s="17"/>
      <c r="U339" s="17"/>
      <c r="V339" s="17"/>
      <c r="Y339" s="17"/>
      <c r="AE339" s="16"/>
      <c r="AH339" s="17"/>
    </row>
    <row r="340" spans="12:34" x14ac:dyDescent="0.2">
      <c r="L340" s="17"/>
      <c r="M340" s="17"/>
      <c r="N340" s="17"/>
      <c r="O340" s="17"/>
      <c r="P340" s="17"/>
      <c r="Q340" s="17"/>
      <c r="R340" s="17"/>
      <c r="S340" s="17"/>
      <c r="T340" s="17"/>
      <c r="U340" s="17"/>
      <c r="V340" s="17"/>
      <c r="Y340" s="17"/>
      <c r="AE340" s="16"/>
      <c r="AH340" s="17"/>
    </row>
    <row r="341" spans="12:34" x14ac:dyDescent="0.2">
      <c r="L341" s="17"/>
      <c r="M341" s="17"/>
      <c r="N341" s="17"/>
      <c r="O341" s="17"/>
      <c r="P341" s="17"/>
      <c r="Q341" s="17"/>
      <c r="R341" s="17"/>
      <c r="S341" s="17"/>
      <c r="T341" s="17"/>
      <c r="U341" s="17"/>
      <c r="V341" s="17"/>
      <c r="Y341" s="17"/>
      <c r="AE341" s="16"/>
      <c r="AH341" s="17"/>
    </row>
    <row r="342" spans="12:34" x14ac:dyDescent="0.2">
      <c r="L342" s="17"/>
      <c r="M342" s="17"/>
      <c r="N342" s="17"/>
      <c r="O342" s="17"/>
      <c r="P342" s="17"/>
      <c r="Q342" s="17"/>
      <c r="R342" s="17"/>
      <c r="S342" s="17"/>
      <c r="T342" s="17"/>
      <c r="U342" s="17"/>
      <c r="V342" s="17"/>
      <c r="Y342" s="17"/>
      <c r="AE342" s="16"/>
      <c r="AH342" s="17"/>
    </row>
    <row r="343" spans="12:34" x14ac:dyDescent="0.2">
      <c r="L343" s="17"/>
      <c r="M343" s="17"/>
      <c r="N343" s="17"/>
      <c r="O343" s="17"/>
      <c r="P343" s="17"/>
      <c r="Q343" s="17"/>
      <c r="R343" s="17"/>
      <c r="S343" s="17"/>
      <c r="T343" s="17"/>
      <c r="U343" s="17"/>
      <c r="V343" s="17"/>
      <c r="Y343" s="17"/>
      <c r="AE343" s="16"/>
      <c r="AH343" s="17"/>
    </row>
    <row r="344" spans="12:34" x14ac:dyDescent="0.2">
      <c r="L344" s="17"/>
      <c r="M344" s="17"/>
      <c r="N344" s="17"/>
      <c r="O344" s="17"/>
      <c r="P344" s="17"/>
      <c r="Q344" s="17"/>
      <c r="R344" s="17"/>
      <c r="S344" s="17"/>
      <c r="T344" s="17"/>
      <c r="U344" s="17"/>
      <c r="V344" s="17"/>
      <c r="Y344" s="17"/>
      <c r="AE344" s="16"/>
      <c r="AH344" s="17"/>
    </row>
    <row r="345" spans="12:34" x14ac:dyDescent="0.2">
      <c r="L345" s="17"/>
      <c r="M345" s="17"/>
      <c r="N345" s="17"/>
      <c r="O345" s="17"/>
      <c r="P345" s="17"/>
      <c r="Q345" s="17"/>
      <c r="R345" s="17"/>
      <c r="S345" s="17"/>
      <c r="T345" s="17"/>
      <c r="U345" s="17"/>
      <c r="V345" s="17"/>
      <c r="Y345" s="17"/>
      <c r="AE345" s="16"/>
      <c r="AH345" s="17"/>
    </row>
    <row r="346" spans="12:34" x14ac:dyDescent="0.2">
      <c r="L346" s="17"/>
      <c r="M346" s="17"/>
      <c r="N346" s="17"/>
      <c r="O346" s="17"/>
      <c r="P346" s="17"/>
      <c r="Q346" s="17"/>
      <c r="R346" s="17"/>
      <c r="S346" s="17"/>
      <c r="T346" s="17"/>
      <c r="U346" s="17"/>
      <c r="V346" s="17"/>
      <c r="Y346" s="17"/>
      <c r="AE346" s="16"/>
      <c r="AH346" s="17"/>
    </row>
    <row r="347" spans="12:34" x14ac:dyDescent="0.2">
      <c r="L347" s="17"/>
      <c r="M347" s="17"/>
      <c r="N347" s="17"/>
      <c r="O347" s="17"/>
      <c r="P347" s="17"/>
      <c r="Q347" s="17"/>
      <c r="R347" s="17"/>
      <c r="S347" s="17"/>
      <c r="T347" s="17"/>
      <c r="U347" s="17"/>
      <c r="V347" s="17"/>
      <c r="Y347" s="17"/>
      <c r="AE347" s="16"/>
      <c r="AH347" s="17"/>
    </row>
    <row r="348" spans="12:34" x14ac:dyDescent="0.2">
      <c r="L348" s="17"/>
      <c r="M348" s="17"/>
      <c r="N348" s="17"/>
      <c r="O348" s="17"/>
      <c r="P348" s="17"/>
      <c r="Q348" s="17"/>
      <c r="R348" s="17"/>
      <c r="S348" s="17"/>
      <c r="T348" s="17"/>
      <c r="U348" s="17"/>
      <c r="V348" s="17"/>
      <c r="Y348" s="17"/>
      <c r="AE348" s="16"/>
      <c r="AH348" s="17"/>
    </row>
    <row r="349" spans="12:34" x14ac:dyDescent="0.2">
      <c r="L349" s="17"/>
      <c r="M349" s="17"/>
      <c r="N349" s="17"/>
      <c r="O349" s="17"/>
      <c r="P349" s="17"/>
      <c r="Q349" s="17"/>
      <c r="R349" s="17"/>
      <c r="S349" s="17"/>
      <c r="T349" s="17"/>
      <c r="U349" s="17"/>
      <c r="V349" s="17"/>
      <c r="Y349" s="17"/>
      <c r="AE349" s="16"/>
      <c r="AH349" s="17"/>
    </row>
    <row r="350" spans="12:34" x14ac:dyDescent="0.2">
      <c r="L350" s="17"/>
      <c r="M350" s="17"/>
      <c r="N350" s="17"/>
      <c r="O350" s="17"/>
      <c r="P350" s="17"/>
      <c r="Q350" s="17"/>
      <c r="R350" s="17"/>
      <c r="S350" s="17"/>
      <c r="T350" s="17"/>
      <c r="U350" s="17"/>
      <c r="V350" s="17"/>
      <c r="Y350" s="17"/>
      <c r="AE350" s="16"/>
      <c r="AH350" s="17"/>
    </row>
    <row r="351" spans="12:34" x14ac:dyDescent="0.2">
      <c r="L351" s="17"/>
      <c r="M351" s="17"/>
      <c r="N351" s="17"/>
      <c r="O351" s="17"/>
      <c r="P351" s="17"/>
      <c r="Q351" s="17"/>
      <c r="R351" s="17"/>
      <c r="S351" s="17"/>
      <c r="T351" s="17"/>
      <c r="U351" s="17"/>
      <c r="V351" s="17"/>
      <c r="Y351" s="17"/>
      <c r="AE351" s="16"/>
      <c r="AH351" s="17"/>
    </row>
    <row r="352" spans="12:34" x14ac:dyDescent="0.2">
      <c r="L352" s="17"/>
      <c r="M352" s="17"/>
      <c r="N352" s="17"/>
      <c r="O352" s="17"/>
      <c r="P352" s="17"/>
      <c r="Q352" s="17"/>
      <c r="R352" s="17"/>
      <c r="S352" s="17"/>
      <c r="T352" s="17"/>
      <c r="U352" s="17"/>
      <c r="V352" s="17"/>
      <c r="Y352" s="17"/>
      <c r="AE352" s="16"/>
      <c r="AH352" s="17"/>
    </row>
    <row r="353" spans="12:34" x14ac:dyDescent="0.2">
      <c r="L353" s="17"/>
      <c r="M353" s="17"/>
      <c r="N353" s="17"/>
      <c r="O353" s="17"/>
      <c r="P353" s="17"/>
      <c r="Q353" s="17"/>
      <c r="R353" s="17"/>
      <c r="S353" s="17"/>
      <c r="T353" s="17"/>
      <c r="U353" s="17"/>
      <c r="V353" s="17"/>
      <c r="Y353" s="17"/>
      <c r="AE353" s="16"/>
      <c r="AH353" s="17"/>
    </row>
    <row r="354" spans="12:34" x14ac:dyDescent="0.2">
      <c r="L354" s="17"/>
      <c r="M354" s="17"/>
      <c r="N354" s="17"/>
      <c r="O354" s="17"/>
      <c r="P354" s="17"/>
      <c r="Q354" s="17"/>
      <c r="R354" s="17"/>
      <c r="S354" s="17"/>
      <c r="T354" s="17"/>
      <c r="U354" s="17"/>
      <c r="V354" s="17"/>
      <c r="Y354" s="17"/>
      <c r="AE354" s="16"/>
      <c r="AH354" s="17"/>
    </row>
    <row r="355" spans="12:34" x14ac:dyDescent="0.2">
      <c r="L355" s="17"/>
      <c r="M355" s="17"/>
      <c r="N355" s="17"/>
      <c r="O355" s="17"/>
      <c r="P355" s="17"/>
      <c r="Q355" s="17"/>
      <c r="R355" s="17"/>
      <c r="S355" s="17"/>
      <c r="T355" s="17"/>
      <c r="U355" s="17"/>
      <c r="V355" s="17"/>
      <c r="Y355" s="17"/>
      <c r="AE355" s="16"/>
      <c r="AH355" s="17"/>
    </row>
    <row r="356" spans="12:34" x14ac:dyDescent="0.2">
      <c r="L356" s="17"/>
      <c r="M356" s="17"/>
      <c r="N356" s="17"/>
      <c r="O356" s="17"/>
      <c r="P356" s="17"/>
      <c r="Q356" s="17"/>
      <c r="R356" s="17"/>
      <c r="S356" s="17"/>
      <c r="T356" s="17"/>
      <c r="U356" s="17"/>
      <c r="V356" s="17"/>
      <c r="Y356" s="17"/>
      <c r="AE356" s="16"/>
      <c r="AH356" s="17"/>
    </row>
    <row r="357" spans="12:34" x14ac:dyDescent="0.2">
      <c r="L357" s="17"/>
      <c r="M357" s="17"/>
      <c r="N357" s="17"/>
      <c r="O357" s="17"/>
      <c r="P357" s="17"/>
      <c r="Q357" s="17"/>
      <c r="R357" s="17"/>
      <c r="S357" s="17"/>
      <c r="T357" s="17"/>
      <c r="U357" s="17"/>
      <c r="V357" s="17"/>
      <c r="Y357" s="17"/>
      <c r="AE357" s="16"/>
      <c r="AH357" s="17"/>
    </row>
    <row r="358" spans="12:34" x14ac:dyDescent="0.2">
      <c r="L358" s="17"/>
      <c r="M358" s="17"/>
      <c r="N358" s="17"/>
      <c r="O358" s="17"/>
      <c r="P358" s="17"/>
      <c r="Q358" s="17"/>
      <c r="R358" s="17"/>
      <c r="S358" s="17"/>
      <c r="T358" s="17"/>
      <c r="U358" s="17"/>
      <c r="V358" s="17"/>
      <c r="Y358" s="17"/>
      <c r="AE358" s="16"/>
      <c r="AH358" s="17"/>
    </row>
    <row r="359" spans="12:34" x14ac:dyDescent="0.2">
      <c r="L359" s="17"/>
      <c r="M359" s="17"/>
      <c r="N359" s="17"/>
      <c r="O359" s="17"/>
      <c r="P359" s="17"/>
      <c r="Q359" s="17"/>
      <c r="R359" s="17"/>
      <c r="S359" s="17"/>
      <c r="T359" s="17"/>
      <c r="U359" s="17"/>
      <c r="V359" s="17"/>
      <c r="Y359" s="17"/>
      <c r="AE359" s="16"/>
      <c r="AH359" s="17"/>
    </row>
    <row r="360" spans="12:34" x14ac:dyDescent="0.2">
      <c r="L360" s="17"/>
      <c r="M360" s="17"/>
      <c r="N360" s="17"/>
      <c r="O360" s="17"/>
      <c r="P360" s="17"/>
      <c r="Q360" s="17"/>
      <c r="R360" s="17"/>
      <c r="S360" s="17"/>
      <c r="T360" s="17"/>
      <c r="U360" s="17"/>
      <c r="V360" s="17"/>
      <c r="Y360" s="17"/>
      <c r="AE360" s="16"/>
      <c r="AH360" s="17"/>
    </row>
    <row r="361" spans="12:34" x14ac:dyDescent="0.2">
      <c r="L361" s="17"/>
      <c r="M361" s="17"/>
      <c r="N361" s="17"/>
      <c r="O361" s="17"/>
      <c r="P361" s="17"/>
      <c r="Q361" s="17"/>
      <c r="R361" s="17"/>
      <c r="S361" s="17"/>
      <c r="T361" s="17"/>
      <c r="U361" s="17"/>
      <c r="V361" s="17"/>
      <c r="Y361" s="17"/>
      <c r="AE361" s="16"/>
      <c r="AH361" s="17"/>
    </row>
    <row r="362" spans="12:34" x14ac:dyDescent="0.2">
      <c r="L362" s="17"/>
      <c r="M362" s="17"/>
      <c r="N362" s="17"/>
      <c r="O362" s="17"/>
      <c r="P362" s="17"/>
      <c r="Q362" s="17"/>
      <c r="R362" s="17"/>
      <c r="S362" s="17"/>
      <c r="T362" s="17"/>
      <c r="U362" s="17"/>
      <c r="V362" s="17"/>
      <c r="Y362" s="17"/>
      <c r="AE362" s="16"/>
      <c r="AH362" s="17"/>
    </row>
    <row r="363" spans="12:34" x14ac:dyDescent="0.2">
      <c r="L363" s="17"/>
      <c r="M363" s="17"/>
      <c r="N363" s="17"/>
      <c r="O363" s="17"/>
      <c r="P363" s="17"/>
      <c r="Q363" s="17"/>
      <c r="R363" s="17"/>
      <c r="S363" s="17"/>
      <c r="T363" s="17"/>
      <c r="U363" s="17"/>
      <c r="V363" s="17"/>
      <c r="Y363" s="17"/>
      <c r="AE363" s="16"/>
      <c r="AH363" s="17"/>
    </row>
    <row r="364" spans="12:34" x14ac:dyDescent="0.2">
      <c r="L364" s="17"/>
      <c r="M364" s="17"/>
      <c r="N364" s="17"/>
      <c r="O364" s="17"/>
      <c r="P364" s="17"/>
      <c r="Q364" s="17"/>
      <c r="R364" s="17"/>
      <c r="S364" s="17"/>
      <c r="T364" s="17"/>
      <c r="U364" s="17"/>
      <c r="V364" s="17"/>
      <c r="Y364" s="17"/>
      <c r="AE364" s="16"/>
      <c r="AH364" s="17"/>
    </row>
    <row r="365" spans="12:34" x14ac:dyDescent="0.2">
      <c r="L365" s="17"/>
      <c r="M365" s="17"/>
      <c r="N365" s="17"/>
      <c r="O365" s="17"/>
      <c r="P365" s="17"/>
      <c r="Q365" s="17"/>
      <c r="R365" s="17"/>
      <c r="S365" s="17"/>
      <c r="T365" s="17"/>
      <c r="U365" s="17"/>
      <c r="V365" s="17"/>
      <c r="Y365" s="17"/>
      <c r="AE365" s="16"/>
      <c r="AH365" s="17"/>
    </row>
    <row r="366" spans="12:34" x14ac:dyDescent="0.2">
      <c r="L366" s="17"/>
      <c r="M366" s="17"/>
      <c r="N366" s="17"/>
      <c r="O366" s="17"/>
      <c r="P366" s="17"/>
      <c r="Q366" s="17"/>
      <c r="R366" s="17"/>
      <c r="S366" s="17"/>
      <c r="T366" s="17"/>
      <c r="U366" s="17"/>
      <c r="V366" s="17"/>
      <c r="Y366" s="17"/>
      <c r="AE366" s="16"/>
      <c r="AH366" s="17"/>
    </row>
    <row r="367" spans="12:34" x14ac:dyDescent="0.2">
      <c r="L367" s="17"/>
      <c r="M367" s="17"/>
      <c r="N367" s="17"/>
      <c r="O367" s="17"/>
      <c r="P367" s="17"/>
      <c r="Q367" s="17"/>
      <c r="R367" s="17"/>
      <c r="S367" s="17"/>
      <c r="T367" s="17"/>
      <c r="U367" s="17"/>
      <c r="V367" s="17"/>
      <c r="Y367" s="17"/>
      <c r="AE367" s="16"/>
      <c r="AH367" s="17"/>
    </row>
    <row r="368" spans="12:34" x14ac:dyDescent="0.2">
      <c r="L368" s="17"/>
      <c r="M368" s="17"/>
      <c r="N368" s="17"/>
      <c r="O368" s="17"/>
      <c r="P368" s="17"/>
      <c r="Q368" s="17"/>
      <c r="R368" s="17"/>
      <c r="S368" s="17"/>
      <c r="T368" s="17"/>
      <c r="U368" s="17"/>
      <c r="V368" s="17"/>
      <c r="Y368" s="17"/>
      <c r="AE368" s="16"/>
      <c r="AH368" s="17"/>
    </row>
    <row r="369" spans="12:34" x14ac:dyDescent="0.2">
      <c r="L369" s="17"/>
      <c r="M369" s="17"/>
      <c r="N369" s="17"/>
      <c r="O369" s="17"/>
      <c r="P369" s="17"/>
      <c r="Q369" s="17"/>
      <c r="R369" s="17"/>
      <c r="S369" s="17"/>
      <c r="T369" s="17"/>
      <c r="U369" s="17"/>
      <c r="V369" s="17"/>
      <c r="Y369" s="17"/>
      <c r="AE369" s="16"/>
      <c r="AH369" s="17"/>
    </row>
    <row r="370" spans="12:34" x14ac:dyDescent="0.2">
      <c r="L370" s="17"/>
      <c r="M370" s="17"/>
      <c r="N370" s="17"/>
      <c r="O370" s="17"/>
      <c r="P370" s="17"/>
      <c r="Q370" s="17"/>
      <c r="R370" s="17"/>
      <c r="S370" s="17"/>
      <c r="T370" s="17"/>
      <c r="U370" s="17"/>
      <c r="V370" s="17"/>
      <c r="Y370" s="17"/>
      <c r="AE370" s="16"/>
      <c r="AH370" s="17"/>
    </row>
    <row r="371" spans="12:34" x14ac:dyDescent="0.2">
      <c r="L371" s="17"/>
      <c r="M371" s="17"/>
      <c r="N371" s="17"/>
      <c r="O371" s="17"/>
      <c r="P371" s="17"/>
      <c r="Q371" s="17"/>
      <c r="R371" s="17"/>
      <c r="S371" s="17"/>
      <c r="T371" s="17"/>
      <c r="U371" s="17"/>
      <c r="V371" s="17"/>
      <c r="Y371" s="17"/>
      <c r="AE371" s="16"/>
      <c r="AH371" s="17"/>
    </row>
    <row r="372" spans="12:34" x14ac:dyDescent="0.2">
      <c r="L372" s="17"/>
      <c r="M372" s="17"/>
      <c r="N372" s="17"/>
      <c r="O372" s="17"/>
      <c r="P372" s="17"/>
      <c r="Q372" s="17"/>
      <c r="R372" s="17"/>
      <c r="S372" s="17"/>
      <c r="T372" s="17"/>
      <c r="U372" s="17"/>
      <c r="V372" s="17"/>
      <c r="Y372" s="17"/>
      <c r="AE372" s="16"/>
      <c r="AH372" s="17"/>
    </row>
    <row r="373" spans="12:34" x14ac:dyDescent="0.2">
      <c r="L373" s="17"/>
      <c r="M373" s="17"/>
      <c r="N373" s="17"/>
      <c r="O373" s="17"/>
      <c r="P373" s="17"/>
      <c r="Q373" s="17"/>
      <c r="R373" s="17"/>
      <c r="S373" s="17"/>
      <c r="T373" s="17"/>
      <c r="U373" s="17"/>
      <c r="V373" s="17"/>
      <c r="Y373" s="17"/>
      <c r="AE373" s="16"/>
      <c r="AH373" s="17"/>
    </row>
    <row r="374" spans="12:34" x14ac:dyDescent="0.2">
      <c r="L374" s="17"/>
      <c r="M374" s="17"/>
      <c r="N374" s="17"/>
      <c r="O374" s="17"/>
      <c r="P374" s="17"/>
      <c r="Q374" s="17"/>
      <c r="R374" s="17"/>
      <c r="S374" s="17"/>
      <c r="T374" s="17"/>
      <c r="U374" s="17"/>
      <c r="V374" s="17"/>
      <c r="Y374" s="17"/>
      <c r="AE374" s="16"/>
      <c r="AH374" s="17"/>
    </row>
    <row r="375" spans="12:34" x14ac:dyDescent="0.2">
      <c r="L375" s="17"/>
      <c r="M375" s="17"/>
      <c r="N375" s="17"/>
      <c r="O375" s="17"/>
      <c r="P375" s="17"/>
      <c r="Q375" s="17"/>
      <c r="R375" s="17"/>
      <c r="S375" s="17"/>
      <c r="T375" s="17"/>
      <c r="U375" s="17"/>
      <c r="V375" s="17"/>
      <c r="Y375" s="17"/>
      <c r="AE375" s="16"/>
      <c r="AH375" s="17"/>
    </row>
    <row r="376" spans="12:34" x14ac:dyDescent="0.2">
      <c r="L376" s="17"/>
      <c r="M376" s="17"/>
      <c r="N376" s="17"/>
      <c r="O376" s="17"/>
      <c r="P376" s="17"/>
      <c r="Q376" s="17"/>
      <c r="R376" s="17"/>
      <c r="S376" s="17"/>
      <c r="T376" s="17"/>
      <c r="U376" s="17"/>
      <c r="V376" s="17"/>
      <c r="Y376" s="17"/>
      <c r="AE376" s="16"/>
      <c r="AH376" s="17"/>
    </row>
    <row r="377" spans="12:34" x14ac:dyDescent="0.2">
      <c r="L377" s="17"/>
      <c r="M377" s="17"/>
      <c r="N377" s="17"/>
      <c r="O377" s="17"/>
      <c r="P377" s="17"/>
      <c r="Q377" s="17"/>
      <c r="R377" s="17"/>
      <c r="S377" s="17"/>
      <c r="T377" s="17"/>
      <c r="U377" s="17"/>
      <c r="V377" s="17"/>
      <c r="Y377" s="17"/>
      <c r="AE377" s="16"/>
      <c r="AH377" s="17"/>
    </row>
    <row r="378" spans="12:34" x14ac:dyDescent="0.2">
      <c r="L378" s="17"/>
      <c r="M378" s="17"/>
      <c r="N378" s="17"/>
      <c r="O378" s="17"/>
      <c r="P378" s="17"/>
      <c r="Q378" s="17"/>
      <c r="R378" s="17"/>
      <c r="S378" s="17"/>
      <c r="T378" s="17"/>
      <c r="U378" s="17"/>
      <c r="V378" s="17"/>
      <c r="Y378" s="17"/>
      <c r="AE378" s="16"/>
      <c r="AH378" s="17"/>
    </row>
    <row r="379" spans="12:34" x14ac:dyDescent="0.2">
      <c r="L379" s="17"/>
      <c r="M379" s="17"/>
      <c r="N379" s="17"/>
      <c r="O379" s="17"/>
      <c r="P379" s="17"/>
      <c r="Q379" s="17"/>
      <c r="R379" s="17"/>
      <c r="S379" s="17"/>
      <c r="T379" s="17"/>
      <c r="U379" s="17"/>
      <c r="V379" s="17"/>
      <c r="Y379" s="17"/>
      <c r="AE379" s="16"/>
      <c r="AH379" s="17"/>
    </row>
    <row r="380" spans="12:34" x14ac:dyDescent="0.2">
      <c r="L380" s="17"/>
      <c r="M380" s="17"/>
      <c r="N380" s="17"/>
      <c r="O380" s="17"/>
      <c r="P380" s="17"/>
      <c r="Q380" s="17"/>
      <c r="R380" s="17"/>
      <c r="S380" s="17"/>
      <c r="T380" s="17"/>
      <c r="U380" s="17"/>
      <c r="V380" s="17"/>
      <c r="Y380" s="17"/>
      <c r="AE380" s="16"/>
      <c r="AH380" s="17"/>
    </row>
    <row r="381" spans="12:34" x14ac:dyDescent="0.2">
      <c r="L381" s="17"/>
      <c r="M381" s="17"/>
      <c r="N381" s="17"/>
      <c r="O381" s="17"/>
      <c r="P381" s="17"/>
      <c r="Q381" s="17"/>
      <c r="R381" s="17"/>
      <c r="S381" s="17"/>
      <c r="T381" s="17"/>
      <c r="U381" s="17"/>
      <c r="V381" s="17"/>
      <c r="Y381" s="17"/>
      <c r="AE381" s="16"/>
      <c r="AH381" s="17"/>
    </row>
    <row r="382" spans="12:34" x14ac:dyDescent="0.2">
      <c r="L382" s="17"/>
      <c r="M382" s="17"/>
      <c r="N382" s="17"/>
      <c r="O382" s="17"/>
      <c r="P382" s="17"/>
      <c r="Q382" s="17"/>
      <c r="R382" s="17"/>
      <c r="S382" s="17"/>
      <c r="T382" s="17"/>
      <c r="U382" s="17"/>
      <c r="V382" s="17"/>
      <c r="Y382" s="17"/>
      <c r="AE382" s="16"/>
      <c r="AH382" s="17"/>
    </row>
    <row r="383" spans="12:34" x14ac:dyDescent="0.2">
      <c r="L383" s="17"/>
      <c r="M383" s="17"/>
      <c r="N383" s="17"/>
      <c r="O383" s="17"/>
      <c r="P383" s="17"/>
      <c r="Q383" s="17"/>
      <c r="R383" s="17"/>
      <c r="S383" s="17"/>
      <c r="T383" s="17"/>
      <c r="U383" s="17"/>
      <c r="V383" s="17"/>
      <c r="Y383" s="17"/>
      <c r="AE383" s="16"/>
      <c r="AH383" s="17"/>
    </row>
    <row r="384" spans="12:34" x14ac:dyDescent="0.2">
      <c r="L384" s="17"/>
      <c r="M384" s="17"/>
      <c r="N384" s="17"/>
      <c r="O384" s="17"/>
      <c r="P384" s="17"/>
      <c r="Q384" s="17"/>
      <c r="R384" s="17"/>
      <c r="S384" s="17"/>
      <c r="T384" s="17"/>
      <c r="U384" s="17"/>
      <c r="V384" s="17"/>
      <c r="Y384" s="17"/>
      <c r="AE384" s="16"/>
      <c r="AH384" s="17"/>
    </row>
    <row r="385" spans="12:34" x14ac:dyDescent="0.2">
      <c r="L385" s="17"/>
      <c r="M385" s="17"/>
      <c r="N385" s="17"/>
      <c r="O385" s="17"/>
      <c r="P385" s="17"/>
      <c r="Q385" s="17"/>
      <c r="R385" s="17"/>
      <c r="S385" s="17"/>
      <c r="T385" s="17"/>
      <c r="U385" s="17"/>
      <c r="V385" s="17"/>
      <c r="Y385" s="17"/>
      <c r="AE385" s="16"/>
      <c r="AH385" s="17"/>
    </row>
    <row r="386" spans="12:34" x14ac:dyDescent="0.2">
      <c r="L386" s="17"/>
      <c r="M386" s="17"/>
      <c r="N386" s="17"/>
      <c r="O386" s="17"/>
      <c r="P386" s="17"/>
      <c r="Q386" s="17"/>
      <c r="R386" s="17"/>
      <c r="S386" s="17"/>
      <c r="T386" s="17"/>
      <c r="U386" s="17"/>
      <c r="V386" s="17"/>
      <c r="Y386" s="17"/>
      <c r="AE386" s="16"/>
      <c r="AH386" s="17"/>
    </row>
    <row r="387" spans="12:34" x14ac:dyDescent="0.2">
      <c r="L387" s="17"/>
      <c r="M387" s="17"/>
      <c r="N387" s="17"/>
      <c r="O387" s="17"/>
      <c r="P387" s="17"/>
      <c r="Q387" s="17"/>
      <c r="R387" s="17"/>
      <c r="S387" s="17"/>
      <c r="T387" s="17"/>
      <c r="U387" s="17"/>
      <c r="V387" s="17"/>
      <c r="Y387" s="17"/>
      <c r="AE387" s="16"/>
      <c r="AH387" s="17"/>
    </row>
    <row r="388" spans="12:34" x14ac:dyDescent="0.2">
      <c r="L388" s="17"/>
      <c r="M388" s="17"/>
      <c r="N388" s="17"/>
      <c r="O388" s="17"/>
      <c r="P388" s="17"/>
      <c r="Q388" s="17"/>
      <c r="R388" s="17"/>
      <c r="S388" s="17"/>
      <c r="T388" s="17"/>
      <c r="U388" s="17"/>
      <c r="V388" s="17"/>
      <c r="Y388" s="17"/>
      <c r="AE388" s="16"/>
      <c r="AH388" s="17"/>
    </row>
    <row r="389" spans="12:34" x14ac:dyDescent="0.2">
      <c r="L389" s="17"/>
      <c r="M389" s="17"/>
      <c r="N389" s="17"/>
      <c r="O389" s="17"/>
      <c r="P389" s="17"/>
      <c r="Q389" s="17"/>
      <c r="R389" s="17"/>
      <c r="S389" s="17"/>
      <c r="T389" s="17"/>
      <c r="U389" s="17"/>
      <c r="V389" s="17"/>
      <c r="Y389" s="17"/>
      <c r="AE389" s="16"/>
      <c r="AH389" s="17"/>
    </row>
    <row r="390" spans="12:34" x14ac:dyDescent="0.2">
      <c r="L390" s="17"/>
      <c r="M390" s="17"/>
      <c r="N390" s="17"/>
      <c r="O390" s="17"/>
      <c r="P390" s="17"/>
      <c r="Q390" s="17"/>
      <c r="R390" s="17"/>
      <c r="S390" s="17"/>
      <c r="T390" s="17"/>
      <c r="U390" s="17"/>
      <c r="V390" s="17"/>
      <c r="Y390" s="17"/>
      <c r="AE390" s="16"/>
      <c r="AH390" s="17"/>
    </row>
    <row r="391" spans="12:34" x14ac:dyDescent="0.2">
      <c r="L391" s="17"/>
      <c r="M391" s="17"/>
      <c r="N391" s="17"/>
      <c r="O391" s="17"/>
      <c r="P391" s="17"/>
      <c r="Q391" s="17"/>
      <c r="R391" s="17"/>
      <c r="S391" s="17"/>
      <c r="T391" s="17"/>
      <c r="U391" s="17"/>
      <c r="V391" s="17"/>
      <c r="Y391" s="17"/>
      <c r="AE391" s="16"/>
      <c r="AH391" s="17"/>
    </row>
    <row r="392" spans="12:34" x14ac:dyDescent="0.2">
      <c r="L392" s="17"/>
      <c r="M392" s="17"/>
      <c r="N392" s="17"/>
      <c r="O392" s="17"/>
      <c r="P392" s="17"/>
      <c r="Q392" s="17"/>
      <c r="R392" s="17"/>
      <c r="S392" s="17"/>
      <c r="T392" s="17"/>
      <c r="U392" s="17"/>
      <c r="V392" s="17"/>
      <c r="Y392" s="17"/>
      <c r="AE392" s="16"/>
      <c r="AH392" s="17"/>
    </row>
    <row r="393" spans="12:34" x14ac:dyDescent="0.2">
      <c r="L393" s="17"/>
      <c r="M393" s="17"/>
      <c r="N393" s="17"/>
      <c r="O393" s="17"/>
      <c r="P393" s="17"/>
      <c r="Q393" s="17"/>
      <c r="R393" s="17"/>
      <c r="S393" s="17"/>
      <c r="T393" s="17"/>
      <c r="U393" s="17"/>
      <c r="V393" s="17"/>
      <c r="Y393" s="17"/>
      <c r="AE393" s="16"/>
      <c r="AH393" s="17"/>
    </row>
    <row r="394" spans="12:34" x14ac:dyDescent="0.2">
      <c r="L394" s="17"/>
      <c r="M394" s="17"/>
      <c r="N394" s="17"/>
      <c r="O394" s="17"/>
      <c r="P394" s="17"/>
      <c r="Q394" s="17"/>
      <c r="R394" s="17"/>
      <c r="S394" s="17"/>
      <c r="T394" s="17"/>
      <c r="U394" s="17"/>
      <c r="V394" s="17"/>
      <c r="Y394" s="17"/>
      <c r="AE394" s="16"/>
      <c r="AH394" s="17"/>
    </row>
    <row r="395" spans="12:34" x14ac:dyDescent="0.2">
      <c r="L395" s="17"/>
      <c r="M395" s="17"/>
      <c r="N395" s="17"/>
      <c r="O395" s="17"/>
      <c r="P395" s="17"/>
      <c r="Q395" s="17"/>
      <c r="R395" s="17"/>
      <c r="S395" s="17"/>
      <c r="T395" s="17"/>
      <c r="U395" s="17"/>
      <c r="V395" s="17"/>
      <c r="Y395" s="17"/>
      <c r="AE395" s="16"/>
      <c r="AH395" s="17"/>
    </row>
    <row r="396" spans="12:34" x14ac:dyDescent="0.2">
      <c r="L396" s="17"/>
      <c r="M396" s="17"/>
      <c r="N396" s="17"/>
      <c r="O396" s="17"/>
      <c r="P396" s="17"/>
      <c r="Q396" s="17"/>
      <c r="R396" s="17"/>
      <c r="S396" s="17"/>
      <c r="T396" s="17"/>
      <c r="U396" s="17"/>
      <c r="V396" s="17"/>
      <c r="Y396" s="17"/>
      <c r="AE396" s="16"/>
      <c r="AH396" s="17"/>
    </row>
    <row r="397" spans="12:34" x14ac:dyDescent="0.2">
      <c r="L397" s="17"/>
      <c r="M397" s="17"/>
      <c r="N397" s="17"/>
      <c r="O397" s="17"/>
      <c r="P397" s="17"/>
      <c r="Q397" s="17"/>
      <c r="R397" s="17"/>
      <c r="S397" s="17"/>
      <c r="T397" s="17"/>
      <c r="U397" s="17"/>
      <c r="V397" s="17"/>
      <c r="Y397" s="17"/>
      <c r="AE397" s="16"/>
      <c r="AH397" s="17"/>
    </row>
    <row r="398" spans="12:34" x14ac:dyDescent="0.2">
      <c r="L398" s="17"/>
      <c r="M398" s="17"/>
      <c r="N398" s="17"/>
      <c r="O398" s="17"/>
      <c r="P398" s="17"/>
      <c r="Q398" s="17"/>
      <c r="R398" s="17"/>
      <c r="S398" s="17"/>
      <c r="T398" s="17"/>
      <c r="U398" s="17"/>
      <c r="V398" s="17"/>
      <c r="Y398" s="17"/>
      <c r="AE398" s="16"/>
      <c r="AH398" s="17"/>
    </row>
    <row r="399" spans="12:34" x14ac:dyDescent="0.2">
      <c r="L399" s="17"/>
      <c r="M399" s="17"/>
      <c r="N399" s="17"/>
      <c r="O399" s="17"/>
      <c r="P399" s="17"/>
      <c r="Q399" s="17"/>
      <c r="R399" s="17"/>
      <c r="S399" s="17"/>
      <c r="T399" s="17"/>
      <c r="U399" s="17"/>
      <c r="V399" s="17"/>
      <c r="Y399" s="17"/>
      <c r="AE399" s="16"/>
      <c r="AH399" s="17"/>
    </row>
    <row r="400" spans="12:34" x14ac:dyDescent="0.2">
      <c r="L400" s="17"/>
      <c r="M400" s="17"/>
      <c r="N400" s="17"/>
      <c r="O400" s="17"/>
      <c r="P400" s="17"/>
      <c r="Q400" s="17"/>
      <c r="R400" s="17"/>
      <c r="S400" s="17"/>
      <c r="T400" s="17"/>
      <c r="U400" s="17"/>
      <c r="V400" s="17"/>
      <c r="Y400" s="17"/>
      <c r="AE400" s="16"/>
      <c r="AH400" s="17"/>
    </row>
    <row r="401" spans="12:34" x14ac:dyDescent="0.2">
      <c r="L401" s="17"/>
      <c r="M401" s="17"/>
      <c r="N401" s="17"/>
      <c r="O401" s="17"/>
      <c r="P401" s="17"/>
      <c r="Q401" s="17"/>
      <c r="R401" s="17"/>
      <c r="S401" s="17"/>
      <c r="T401" s="17"/>
      <c r="U401" s="17"/>
      <c r="V401" s="17"/>
      <c r="Y401" s="17"/>
      <c r="AE401" s="16"/>
      <c r="AH401" s="17"/>
    </row>
    <row r="402" spans="12:34" x14ac:dyDescent="0.2">
      <c r="L402" s="17"/>
      <c r="M402" s="17"/>
      <c r="N402" s="17"/>
      <c r="O402" s="17"/>
      <c r="P402" s="17"/>
      <c r="Q402" s="17"/>
      <c r="R402" s="17"/>
      <c r="S402" s="17"/>
      <c r="T402" s="17"/>
      <c r="U402" s="17"/>
      <c r="V402" s="17"/>
      <c r="Y402" s="17"/>
      <c r="AE402" s="16"/>
      <c r="AH402" s="17"/>
    </row>
    <row r="403" spans="12:34" x14ac:dyDescent="0.2">
      <c r="L403" s="17"/>
      <c r="M403" s="17"/>
      <c r="N403" s="17"/>
      <c r="O403" s="17"/>
      <c r="P403" s="17"/>
      <c r="Q403" s="17"/>
      <c r="R403" s="17"/>
      <c r="S403" s="17"/>
      <c r="T403" s="17"/>
      <c r="U403" s="17"/>
      <c r="V403" s="17"/>
      <c r="Y403" s="17"/>
      <c r="AE403" s="16"/>
      <c r="AH403" s="17"/>
    </row>
    <row r="404" spans="12:34" x14ac:dyDescent="0.2">
      <c r="L404" s="17"/>
      <c r="M404" s="17"/>
      <c r="N404" s="17"/>
      <c r="O404" s="17"/>
      <c r="P404" s="17"/>
      <c r="Q404" s="17"/>
      <c r="R404" s="17"/>
      <c r="S404" s="17"/>
      <c r="T404" s="17"/>
      <c r="U404" s="17"/>
      <c r="V404" s="17"/>
      <c r="Y404" s="17"/>
      <c r="AE404" s="16"/>
      <c r="AH404" s="17"/>
    </row>
    <row r="405" spans="12:34" x14ac:dyDescent="0.2">
      <c r="L405" s="17"/>
      <c r="M405" s="17"/>
      <c r="N405" s="17"/>
      <c r="O405" s="17"/>
      <c r="P405" s="17"/>
      <c r="Q405" s="17"/>
      <c r="R405" s="17"/>
      <c r="S405" s="17"/>
      <c r="T405" s="17"/>
      <c r="U405" s="17"/>
      <c r="V405" s="17"/>
      <c r="Y405" s="17"/>
      <c r="AE405" s="16"/>
      <c r="AH405" s="17"/>
    </row>
    <row r="406" spans="12:34" x14ac:dyDescent="0.2">
      <c r="L406" s="17"/>
      <c r="M406" s="17"/>
      <c r="N406" s="17"/>
      <c r="O406" s="17"/>
      <c r="P406" s="17"/>
      <c r="Q406" s="17"/>
      <c r="R406" s="17"/>
      <c r="S406" s="17"/>
      <c r="T406" s="17"/>
      <c r="U406" s="17"/>
      <c r="V406" s="17"/>
      <c r="Y406" s="17"/>
      <c r="AE406" s="16"/>
      <c r="AH406" s="17"/>
    </row>
    <row r="407" spans="12:34" x14ac:dyDescent="0.2">
      <c r="L407" s="17"/>
      <c r="M407" s="17"/>
      <c r="N407" s="17"/>
      <c r="O407" s="17"/>
      <c r="P407" s="17"/>
      <c r="Q407" s="17"/>
      <c r="R407" s="17"/>
      <c r="S407" s="17"/>
      <c r="T407" s="17"/>
      <c r="U407" s="17"/>
      <c r="V407" s="17"/>
      <c r="Y407" s="17"/>
      <c r="AE407" s="16"/>
      <c r="AH407" s="17"/>
    </row>
    <row r="408" spans="12:34" x14ac:dyDescent="0.2">
      <c r="L408" s="17"/>
      <c r="M408" s="17"/>
      <c r="N408" s="17"/>
      <c r="O408" s="17"/>
      <c r="P408" s="17"/>
      <c r="Q408" s="17"/>
      <c r="R408" s="17"/>
      <c r="S408" s="17"/>
      <c r="T408" s="17"/>
      <c r="U408" s="17"/>
      <c r="V408" s="17"/>
      <c r="Y408" s="17"/>
      <c r="AE408" s="16"/>
      <c r="AH408" s="17"/>
    </row>
    <row r="409" spans="12:34" x14ac:dyDescent="0.2">
      <c r="L409" s="17"/>
      <c r="M409" s="17"/>
      <c r="N409" s="17"/>
      <c r="O409" s="17"/>
      <c r="P409" s="17"/>
      <c r="Q409" s="17"/>
      <c r="R409" s="17"/>
      <c r="S409" s="17"/>
      <c r="T409" s="17"/>
      <c r="U409" s="17"/>
      <c r="V409" s="17"/>
      <c r="Y409" s="17"/>
      <c r="AE409" s="16"/>
      <c r="AH409" s="17"/>
    </row>
    <row r="410" spans="12:34" x14ac:dyDescent="0.2">
      <c r="L410" s="17"/>
      <c r="M410" s="17"/>
      <c r="N410" s="17"/>
      <c r="O410" s="17"/>
      <c r="P410" s="17"/>
      <c r="Q410" s="17"/>
      <c r="R410" s="17"/>
      <c r="S410" s="17"/>
      <c r="T410" s="17"/>
      <c r="U410" s="17"/>
      <c r="V410" s="17"/>
      <c r="Y410" s="17"/>
      <c r="AE410" s="16"/>
      <c r="AH410" s="17"/>
    </row>
    <row r="411" spans="12:34" x14ac:dyDescent="0.2">
      <c r="L411" s="17"/>
      <c r="M411" s="17"/>
      <c r="N411" s="17"/>
      <c r="O411" s="17"/>
      <c r="P411" s="17"/>
      <c r="Q411" s="17"/>
      <c r="R411" s="17"/>
      <c r="S411" s="17"/>
      <c r="T411" s="17"/>
      <c r="U411" s="17"/>
      <c r="V411" s="17"/>
      <c r="Y411" s="17"/>
      <c r="AE411" s="16"/>
      <c r="AH411" s="17"/>
    </row>
    <row r="412" spans="12:34" x14ac:dyDescent="0.2">
      <c r="L412" s="17"/>
      <c r="M412" s="17"/>
      <c r="N412" s="17"/>
      <c r="O412" s="17"/>
      <c r="P412" s="17"/>
      <c r="Q412" s="17"/>
      <c r="R412" s="17"/>
      <c r="S412" s="17"/>
      <c r="T412" s="17"/>
      <c r="U412" s="17"/>
      <c r="V412" s="17"/>
      <c r="Y412" s="17"/>
      <c r="AE412" s="16"/>
      <c r="AH412" s="17"/>
    </row>
    <row r="413" spans="12:34" x14ac:dyDescent="0.2">
      <c r="L413" s="17"/>
      <c r="M413" s="17"/>
      <c r="N413" s="17"/>
      <c r="O413" s="17"/>
      <c r="P413" s="17"/>
      <c r="Q413" s="17"/>
      <c r="R413" s="17"/>
      <c r="S413" s="17"/>
      <c r="T413" s="17"/>
      <c r="U413" s="17"/>
      <c r="V413" s="17"/>
      <c r="Y413" s="17"/>
      <c r="AE413" s="16"/>
      <c r="AH413" s="17"/>
    </row>
    <row r="414" spans="12:34" x14ac:dyDescent="0.2">
      <c r="L414" s="17"/>
      <c r="M414" s="17"/>
      <c r="N414" s="17"/>
      <c r="O414" s="17"/>
      <c r="P414" s="17"/>
      <c r="Q414" s="17"/>
      <c r="R414" s="17"/>
      <c r="S414" s="17"/>
      <c r="T414" s="17"/>
      <c r="U414" s="17"/>
      <c r="V414" s="17"/>
      <c r="Y414" s="17"/>
      <c r="AE414" s="16"/>
      <c r="AH414" s="17"/>
    </row>
    <row r="415" spans="12:34" x14ac:dyDescent="0.2">
      <c r="L415" s="17"/>
      <c r="M415" s="17"/>
      <c r="N415" s="17"/>
      <c r="O415" s="17"/>
      <c r="P415" s="17"/>
      <c r="Q415" s="17"/>
      <c r="R415" s="17"/>
      <c r="S415" s="17"/>
      <c r="T415" s="17"/>
      <c r="U415" s="17"/>
      <c r="V415" s="17"/>
      <c r="Y415" s="17"/>
      <c r="AE415" s="16"/>
      <c r="AH415" s="17"/>
    </row>
    <row r="416" spans="12:34" x14ac:dyDescent="0.2">
      <c r="L416" s="17"/>
      <c r="M416" s="17"/>
      <c r="N416" s="17"/>
      <c r="O416" s="17"/>
      <c r="P416" s="17"/>
      <c r="Q416" s="17"/>
      <c r="R416" s="17"/>
      <c r="S416" s="17"/>
      <c r="T416" s="17"/>
      <c r="U416" s="17"/>
      <c r="V416" s="17"/>
      <c r="Y416" s="17"/>
      <c r="AE416" s="16"/>
      <c r="AH416" s="17"/>
    </row>
    <row r="417" spans="12:34" x14ac:dyDescent="0.2">
      <c r="L417" s="17"/>
      <c r="M417" s="17"/>
      <c r="N417" s="17"/>
      <c r="O417" s="17"/>
      <c r="P417" s="17"/>
      <c r="Q417" s="17"/>
      <c r="R417" s="17"/>
      <c r="S417" s="17"/>
      <c r="T417" s="17"/>
      <c r="U417" s="17"/>
      <c r="V417" s="17"/>
      <c r="Y417" s="17"/>
      <c r="AE417" s="16"/>
      <c r="AH417" s="17"/>
    </row>
    <row r="418" spans="12:34" x14ac:dyDescent="0.2">
      <c r="L418" s="17"/>
      <c r="M418" s="17"/>
      <c r="N418" s="17"/>
      <c r="O418" s="17"/>
      <c r="P418" s="17"/>
      <c r="Q418" s="17"/>
      <c r="R418" s="17"/>
      <c r="S418" s="17"/>
      <c r="T418" s="17"/>
      <c r="U418" s="17"/>
      <c r="V418" s="17"/>
      <c r="Y418" s="17"/>
      <c r="AE418" s="16"/>
      <c r="AH418" s="17"/>
    </row>
    <row r="419" spans="12:34" x14ac:dyDescent="0.2">
      <c r="L419" s="17"/>
      <c r="M419" s="17"/>
      <c r="N419" s="17"/>
      <c r="O419" s="17"/>
      <c r="P419" s="17"/>
      <c r="Q419" s="17"/>
      <c r="R419" s="17"/>
      <c r="S419" s="17"/>
      <c r="T419" s="17"/>
      <c r="U419" s="17"/>
      <c r="V419" s="17"/>
      <c r="Y419" s="17"/>
      <c r="AE419" s="16"/>
      <c r="AH419" s="17"/>
    </row>
    <row r="420" spans="12:34" x14ac:dyDescent="0.2">
      <c r="L420" s="17"/>
      <c r="M420" s="17"/>
      <c r="N420" s="17"/>
      <c r="O420" s="17"/>
      <c r="P420" s="17"/>
      <c r="Q420" s="17"/>
      <c r="R420" s="17"/>
      <c r="S420" s="17"/>
      <c r="T420" s="17"/>
      <c r="U420" s="17"/>
      <c r="V420" s="17"/>
      <c r="Y420" s="17"/>
      <c r="AE420" s="16"/>
      <c r="AH420" s="17"/>
    </row>
    <row r="421" spans="12:34" x14ac:dyDescent="0.2">
      <c r="L421" s="17"/>
      <c r="M421" s="17"/>
      <c r="N421" s="17"/>
      <c r="O421" s="17"/>
      <c r="P421" s="17"/>
      <c r="Q421" s="17"/>
      <c r="R421" s="17"/>
      <c r="S421" s="17"/>
      <c r="T421" s="17"/>
      <c r="U421" s="17"/>
      <c r="V421" s="17"/>
      <c r="Y421" s="17"/>
      <c r="AE421" s="16"/>
      <c r="AH421" s="17"/>
    </row>
    <row r="422" spans="12:34" x14ac:dyDescent="0.2">
      <c r="L422" s="17"/>
      <c r="M422" s="17"/>
      <c r="N422" s="17"/>
      <c r="O422" s="17"/>
      <c r="P422" s="17"/>
      <c r="Q422" s="17"/>
      <c r="R422" s="17"/>
      <c r="S422" s="17"/>
      <c r="T422" s="17"/>
      <c r="U422" s="17"/>
      <c r="V422" s="17"/>
      <c r="Y422" s="17"/>
      <c r="AE422" s="16"/>
      <c r="AH422" s="17"/>
    </row>
    <row r="423" spans="12:34" x14ac:dyDescent="0.2">
      <c r="L423" s="17"/>
      <c r="M423" s="17"/>
      <c r="N423" s="17"/>
      <c r="O423" s="17"/>
      <c r="P423" s="17"/>
      <c r="Q423" s="17"/>
      <c r="R423" s="17"/>
      <c r="S423" s="17"/>
      <c r="T423" s="17"/>
      <c r="U423" s="17"/>
      <c r="V423" s="17"/>
      <c r="Y423" s="17"/>
      <c r="AE423" s="16"/>
      <c r="AH423" s="17"/>
    </row>
    <row r="424" spans="12:34" x14ac:dyDescent="0.2">
      <c r="L424" s="17"/>
      <c r="M424" s="17"/>
      <c r="N424" s="17"/>
      <c r="O424" s="17"/>
      <c r="P424" s="17"/>
      <c r="Q424" s="17"/>
      <c r="R424" s="17"/>
      <c r="S424" s="17"/>
      <c r="T424" s="17"/>
      <c r="U424" s="17"/>
      <c r="V424" s="17"/>
      <c r="Y424" s="17"/>
      <c r="AE424" s="16"/>
      <c r="AH424" s="17"/>
    </row>
    <row r="425" spans="12:34" x14ac:dyDescent="0.2">
      <c r="L425" s="17"/>
      <c r="M425" s="17"/>
      <c r="N425" s="17"/>
      <c r="O425" s="17"/>
      <c r="P425" s="17"/>
      <c r="Q425" s="17"/>
      <c r="R425" s="17"/>
      <c r="S425" s="17"/>
      <c r="T425" s="17"/>
      <c r="U425" s="17"/>
      <c r="V425" s="17"/>
      <c r="Y425" s="17"/>
      <c r="AE425" s="16"/>
      <c r="AH425" s="17"/>
    </row>
    <row r="426" spans="12:34" x14ac:dyDescent="0.2">
      <c r="L426" s="17"/>
      <c r="M426" s="17"/>
      <c r="N426" s="17"/>
      <c r="O426" s="17"/>
      <c r="P426" s="17"/>
      <c r="Q426" s="17"/>
      <c r="R426" s="17"/>
      <c r="S426" s="17"/>
      <c r="T426" s="17"/>
      <c r="U426" s="17"/>
      <c r="V426" s="17"/>
      <c r="Y426" s="17"/>
      <c r="AE426" s="16"/>
      <c r="AH426" s="17"/>
    </row>
    <row r="427" spans="12:34" x14ac:dyDescent="0.2">
      <c r="L427" s="17"/>
      <c r="M427" s="17"/>
      <c r="N427" s="17"/>
      <c r="O427" s="17"/>
      <c r="P427" s="17"/>
      <c r="Q427" s="17"/>
      <c r="R427" s="17"/>
      <c r="S427" s="17"/>
      <c r="T427" s="17"/>
      <c r="U427" s="17"/>
      <c r="V427" s="17"/>
      <c r="Y427" s="17"/>
      <c r="AE427" s="16"/>
      <c r="AH427" s="17"/>
    </row>
    <row r="428" spans="12:34" x14ac:dyDescent="0.2">
      <c r="L428" s="17"/>
      <c r="M428" s="17"/>
      <c r="N428" s="17"/>
      <c r="O428" s="17"/>
      <c r="P428" s="17"/>
      <c r="Q428" s="17"/>
      <c r="R428" s="17"/>
      <c r="S428" s="17"/>
      <c r="T428" s="17"/>
      <c r="U428" s="17"/>
      <c r="V428" s="17"/>
      <c r="Y428" s="17"/>
      <c r="AE428" s="16"/>
      <c r="AH428" s="17"/>
    </row>
    <row r="429" spans="12:34" x14ac:dyDescent="0.2">
      <c r="L429" s="17"/>
      <c r="M429" s="17"/>
      <c r="N429" s="17"/>
      <c r="O429" s="17"/>
      <c r="P429" s="17"/>
      <c r="Q429" s="17"/>
      <c r="R429" s="17"/>
      <c r="S429" s="17"/>
      <c r="T429" s="17"/>
      <c r="U429" s="17"/>
      <c r="V429" s="17"/>
      <c r="Y429" s="17"/>
      <c r="AE429" s="16"/>
      <c r="AH429" s="17"/>
    </row>
    <row r="430" spans="12:34" x14ac:dyDescent="0.2">
      <c r="L430" s="17"/>
      <c r="M430" s="17"/>
      <c r="N430" s="17"/>
      <c r="O430" s="17"/>
      <c r="P430" s="17"/>
      <c r="Q430" s="17"/>
      <c r="R430" s="17"/>
      <c r="S430" s="17"/>
      <c r="T430" s="17"/>
      <c r="U430" s="17"/>
      <c r="V430" s="17"/>
      <c r="Y430" s="17"/>
      <c r="AE430" s="16"/>
      <c r="AH430" s="17"/>
    </row>
    <row r="431" spans="12:34" x14ac:dyDescent="0.2">
      <c r="L431" s="17"/>
      <c r="M431" s="17"/>
      <c r="N431" s="17"/>
      <c r="O431" s="17"/>
      <c r="P431" s="17"/>
      <c r="Q431" s="17"/>
      <c r="R431" s="17"/>
      <c r="S431" s="17"/>
      <c r="T431" s="17"/>
      <c r="U431" s="17"/>
      <c r="V431" s="17"/>
      <c r="Y431" s="17"/>
      <c r="AE431" s="16"/>
      <c r="AH431" s="17"/>
    </row>
    <row r="432" spans="12:34" x14ac:dyDescent="0.2">
      <c r="L432" s="17"/>
      <c r="M432" s="17"/>
      <c r="N432" s="17"/>
      <c r="O432" s="17"/>
      <c r="P432" s="17"/>
      <c r="Q432" s="17"/>
      <c r="R432" s="17"/>
      <c r="S432" s="17"/>
      <c r="T432" s="17"/>
      <c r="U432" s="17"/>
      <c r="V432" s="17"/>
      <c r="Y432" s="17"/>
      <c r="AE432" s="16"/>
      <c r="AH432" s="17"/>
    </row>
    <row r="433" spans="12:34" x14ac:dyDescent="0.2">
      <c r="L433" s="17"/>
      <c r="M433" s="17"/>
      <c r="N433" s="17"/>
      <c r="O433" s="17"/>
      <c r="P433" s="17"/>
      <c r="Q433" s="17"/>
      <c r="R433" s="17"/>
      <c r="S433" s="17"/>
      <c r="T433" s="17"/>
      <c r="U433" s="17"/>
      <c r="V433" s="17"/>
      <c r="Y433" s="17"/>
      <c r="AE433" s="16"/>
      <c r="AH433" s="17"/>
    </row>
    <row r="434" spans="12:34" x14ac:dyDescent="0.2">
      <c r="L434" s="17"/>
      <c r="M434" s="17"/>
      <c r="N434" s="17"/>
      <c r="O434" s="17"/>
      <c r="P434" s="17"/>
      <c r="Q434" s="17"/>
      <c r="R434" s="17"/>
      <c r="S434" s="17"/>
      <c r="T434" s="17"/>
      <c r="U434" s="17"/>
      <c r="V434" s="17"/>
      <c r="Y434" s="17"/>
      <c r="AE434" s="16"/>
      <c r="AH434" s="17"/>
    </row>
    <row r="435" spans="12:34" x14ac:dyDescent="0.2">
      <c r="L435" s="17"/>
      <c r="M435" s="17"/>
      <c r="N435" s="17"/>
      <c r="O435" s="17"/>
      <c r="P435" s="17"/>
      <c r="Q435" s="17"/>
      <c r="R435" s="17"/>
      <c r="S435" s="17"/>
      <c r="T435" s="17"/>
      <c r="U435" s="17"/>
      <c r="V435" s="17"/>
      <c r="Y435" s="17"/>
      <c r="AE435" s="16"/>
      <c r="AH435" s="17"/>
    </row>
    <row r="436" spans="12:34" x14ac:dyDescent="0.2">
      <c r="L436" s="17"/>
      <c r="M436" s="17"/>
      <c r="N436" s="17"/>
      <c r="O436" s="17"/>
      <c r="P436" s="17"/>
      <c r="Q436" s="17"/>
      <c r="R436" s="17"/>
      <c r="S436" s="17"/>
      <c r="T436" s="17"/>
      <c r="U436" s="17"/>
      <c r="V436" s="17"/>
      <c r="Y436" s="17"/>
      <c r="AE436" s="16"/>
      <c r="AH436" s="17"/>
    </row>
    <row r="437" spans="12:34" x14ac:dyDescent="0.2">
      <c r="L437" s="17"/>
      <c r="M437" s="17"/>
      <c r="N437" s="17"/>
      <c r="O437" s="17"/>
      <c r="P437" s="17"/>
      <c r="Q437" s="17"/>
      <c r="R437" s="17"/>
      <c r="S437" s="17"/>
      <c r="T437" s="17"/>
      <c r="U437" s="17"/>
      <c r="V437" s="17"/>
      <c r="Y437" s="17"/>
      <c r="AE437" s="16"/>
      <c r="AH437" s="17"/>
    </row>
    <row r="438" spans="12:34" x14ac:dyDescent="0.2">
      <c r="L438" s="17"/>
      <c r="M438" s="17"/>
      <c r="N438" s="17"/>
      <c r="O438" s="17"/>
      <c r="P438" s="17"/>
      <c r="Q438" s="17"/>
      <c r="R438" s="17"/>
      <c r="S438" s="17"/>
      <c r="T438" s="17"/>
      <c r="U438" s="17"/>
      <c r="V438" s="17"/>
      <c r="Y438" s="17"/>
      <c r="AE438" s="16"/>
      <c r="AH438" s="17"/>
    </row>
    <row r="439" spans="12:34" x14ac:dyDescent="0.2">
      <c r="L439" s="17"/>
      <c r="M439" s="17"/>
      <c r="N439" s="17"/>
      <c r="O439" s="17"/>
      <c r="P439" s="17"/>
      <c r="Q439" s="17"/>
      <c r="R439" s="17"/>
      <c r="S439" s="17"/>
      <c r="T439" s="17"/>
      <c r="U439" s="17"/>
      <c r="V439" s="17"/>
      <c r="Y439" s="17"/>
      <c r="AE439" s="16"/>
      <c r="AH439" s="17"/>
    </row>
    <row r="440" spans="12:34" x14ac:dyDescent="0.2">
      <c r="L440" s="17"/>
      <c r="M440" s="17"/>
      <c r="N440" s="17"/>
      <c r="O440" s="17"/>
      <c r="P440" s="17"/>
      <c r="Q440" s="17"/>
      <c r="R440" s="17"/>
      <c r="S440" s="17"/>
      <c r="T440" s="17"/>
      <c r="U440" s="17"/>
      <c r="V440" s="17"/>
      <c r="Y440" s="17"/>
      <c r="AE440" s="16"/>
      <c r="AH440" s="17"/>
    </row>
    <row r="441" spans="12:34" x14ac:dyDescent="0.2">
      <c r="L441" s="17"/>
      <c r="M441" s="17"/>
      <c r="N441" s="17"/>
      <c r="O441" s="17"/>
      <c r="P441" s="17"/>
      <c r="Q441" s="17"/>
      <c r="R441" s="17"/>
      <c r="S441" s="17"/>
      <c r="T441" s="17"/>
      <c r="U441" s="17"/>
      <c r="V441" s="17"/>
      <c r="Y441" s="17"/>
      <c r="AE441" s="16"/>
      <c r="AH441" s="17"/>
    </row>
    <row r="442" spans="12:34" x14ac:dyDescent="0.2">
      <c r="L442" s="17"/>
      <c r="M442" s="17"/>
      <c r="N442" s="17"/>
      <c r="O442" s="17"/>
      <c r="P442" s="17"/>
      <c r="Q442" s="17"/>
      <c r="R442" s="17"/>
      <c r="S442" s="17"/>
      <c r="T442" s="17"/>
      <c r="U442" s="17"/>
      <c r="V442" s="17"/>
      <c r="Y442" s="17"/>
      <c r="AE442" s="16"/>
      <c r="AH442" s="17"/>
    </row>
    <row r="443" spans="12:34" x14ac:dyDescent="0.2">
      <c r="L443" s="17"/>
      <c r="M443" s="17"/>
      <c r="N443" s="17"/>
      <c r="O443" s="17"/>
      <c r="P443" s="17"/>
      <c r="Q443" s="17"/>
      <c r="R443" s="17"/>
      <c r="S443" s="17"/>
      <c r="T443" s="17"/>
      <c r="U443" s="17"/>
      <c r="V443" s="17"/>
      <c r="Y443" s="17"/>
      <c r="AE443" s="16"/>
      <c r="AH443" s="17"/>
    </row>
    <row r="444" spans="12:34" x14ac:dyDescent="0.2">
      <c r="L444" s="17"/>
      <c r="M444" s="17"/>
      <c r="N444" s="17"/>
      <c r="O444" s="17"/>
      <c r="P444" s="17"/>
      <c r="Q444" s="17"/>
      <c r="R444" s="17"/>
      <c r="S444" s="17"/>
      <c r="T444" s="17"/>
      <c r="U444" s="17"/>
      <c r="V444" s="17"/>
      <c r="Y444" s="17"/>
      <c r="AE444" s="16"/>
      <c r="AH444" s="17"/>
    </row>
    <row r="445" spans="12:34" x14ac:dyDescent="0.2">
      <c r="L445" s="17"/>
      <c r="M445" s="17"/>
      <c r="N445" s="17"/>
      <c r="O445" s="17"/>
      <c r="P445" s="17"/>
      <c r="Q445" s="17"/>
      <c r="R445" s="17"/>
      <c r="S445" s="17"/>
      <c r="T445" s="17"/>
      <c r="U445" s="17"/>
      <c r="V445" s="17"/>
      <c r="Y445" s="17"/>
      <c r="AE445" s="16"/>
      <c r="AH445" s="17"/>
    </row>
    <row r="446" spans="12:34" x14ac:dyDescent="0.2">
      <c r="L446" s="17"/>
      <c r="M446" s="17"/>
      <c r="N446" s="17"/>
      <c r="O446" s="17"/>
      <c r="P446" s="17"/>
      <c r="Q446" s="17"/>
      <c r="R446" s="17"/>
      <c r="S446" s="17"/>
      <c r="T446" s="17"/>
      <c r="U446" s="17"/>
      <c r="V446" s="17"/>
      <c r="Y446" s="17"/>
      <c r="AE446" s="16"/>
      <c r="AH446" s="17"/>
    </row>
    <row r="447" spans="12:34" x14ac:dyDescent="0.2">
      <c r="L447" s="17"/>
      <c r="M447" s="17"/>
      <c r="N447" s="17"/>
      <c r="O447" s="17"/>
      <c r="P447" s="17"/>
      <c r="Q447" s="17"/>
      <c r="R447" s="17"/>
      <c r="S447" s="17"/>
      <c r="T447" s="17"/>
      <c r="U447" s="17"/>
      <c r="V447" s="17"/>
      <c r="Y447" s="17"/>
      <c r="AE447" s="16"/>
      <c r="AH447" s="17"/>
    </row>
    <row r="448" spans="12:34" x14ac:dyDescent="0.2">
      <c r="L448" s="17"/>
      <c r="M448" s="17"/>
      <c r="N448" s="17"/>
      <c r="O448" s="17"/>
      <c r="P448" s="17"/>
      <c r="Q448" s="17"/>
      <c r="R448" s="17"/>
      <c r="S448" s="17"/>
      <c r="T448" s="17"/>
      <c r="U448" s="17"/>
      <c r="V448" s="17"/>
      <c r="Y448" s="17"/>
      <c r="AE448" s="16"/>
      <c r="AH448" s="17"/>
    </row>
    <row r="449" spans="12:34" x14ac:dyDescent="0.2">
      <c r="L449" s="17"/>
      <c r="M449" s="17"/>
      <c r="N449" s="17"/>
      <c r="O449" s="17"/>
      <c r="P449" s="17"/>
      <c r="Q449" s="17"/>
      <c r="R449" s="17"/>
      <c r="S449" s="17"/>
      <c r="T449" s="17"/>
      <c r="U449" s="17"/>
      <c r="V449" s="17"/>
      <c r="Y449" s="17"/>
      <c r="AE449" s="16"/>
      <c r="AH449" s="17"/>
    </row>
    <row r="450" spans="12:34" x14ac:dyDescent="0.2">
      <c r="L450" s="17"/>
      <c r="M450" s="17"/>
      <c r="N450" s="17"/>
      <c r="O450" s="17"/>
      <c r="P450" s="17"/>
      <c r="Q450" s="17"/>
      <c r="R450" s="17"/>
      <c r="S450" s="17"/>
      <c r="T450" s="17"/>
      <c r="U450" s="17"/>
      <c r="V450" s="17"/>
      <c r="Y450" s="17"/>
      <c r="AE450" s="16"/>
      <c r="AH450" s="17"/>
    </row>
    <row r="451" spans="12:34" x14ac:dyDescent="0.2">
      <c r="L451" s="17"/>
      <c r="M451" s="17"/>
      <c r="N451" s="17"/>
      <c r="O451" s="17"/>
      <c r="P451" s="17"/>
      <c r="Q451" s="17"/>
      <c r="R451" s="17"/>
      <c r="S451" s="17"/>
      <c r="T451" s="17"/>
      <c r="U451" s="17"/>
      <c r="V451" s="17"/>
      <c r="Y451" s="17"/>
      <c r="AE451" s="16"/>
      <c r="AH451" s="17"/>
    </row>
    <row r="452" spans="12:34" x14ac:dyDescent="0.2">
      <c r="L452" s="17"/>
      <c r="M452" s="17"/>
      <c r="N452" s="17"/>
      <c r="O452" s="17"/>
      <c r="P452" s="17"/>
      <c r="Q452" s="17"/>
      <c r="R452" s="17"/>
      <c r="S452" s="17"/>
      <c r="T452" s="17"/>
      <c r="U452" s="17"/>
      <c r="V452" s="17"/>
      <c r="Y452" s="17"/>
      <c r="AE452" s="16"/>
      <c r="AH452" s="17"/>
    </row>
    <row r="453" spans="12:34" x14ac:dyDescent="0.2">
      <c r="L453" s="17"/>
      <c r="M453" s="17"/>
      <c r="N453" s="17"/>
      <c r="O453" s="17"/>
      <c r="P453" s="17"/>
      <c r="Q453" s="17"/>
      <c r="R453" s="17"/>
      <c r="S453" s="17"/>
      <c r="T453" s="17"/>
      <c r="U453" s="17"/>
      <c r="V453" s="17"/>
      <c r="Y453" s="17"/>
      <c r="AE453" s="16"/>
      <c r="AH453" s="17"/>
    </row>
    <row r="454" spans="12:34" x14ac:dyDescent="0.2">
      <c r="L454" s="17"/>
      <c r="M454" s="17"/>
      <c r="N454" s="17"/>
      <c r="O454" s="17"/>
      <c r="P454" s="17"/>
      <c r="Q454" s="17"/>
      <c r="R454" s="17"/>
      <c r="S454" s="17"/>
      <c r="T454" s="17"/>
      <c r="U454" s="17"/>
      <c r="V454" s="17"/>
      <c r="Y454" s="17"/>
      <c r="AE454" s="16"/>
      <c r="AH454" s="17"/>
    </row>
    <row r="455" spans="12:34" x14ac:dyDescent="0.2">
      <c r="L455" s="17"/>
      <c r="M455" s="17"/>
      <c r="N455" s="17"/>
      <c r="O455" s="17"/>
      <c r="P455" s="17"/>
      <c r="Q455" s="17"/>
      <c r="R455" s="17"/>
      <c r="S455" s="17"/>
      <c r="T455" s="17"/>
      <c r="U455" s="17"/>
      <c r="V455" s="17"/>
      <c r="Y455" s="17"/>
      <c r="AE455" s="16"/>
      <c r="AH455" s="17"/>
    </row>
    <row r="456" spans="12:34" x14ac:dyDescent="0.2">
      <c r="L456" s="17"/>
      <c r="M456" s="17"/>
      <c r="N456" s="17"/>
      <c r="O456" s="17"/>
      <c r="P456" s="17"/>
      <c r="Q456" s="17"/>
      <c r="R456" s="17"/>
      <c r="S456" s="17"/>
      <c r="T456" s="17"/>
      <c r="U456" s="17"/>
      <c r="V456" s="17"/>
      <c r="Y456" s="17"/>
      <c r="AE456" s="16"/>
      <c r="AH456" s="17"/>
    </row>
    <row r="457" spans="12:34" x14ac:dyDescent="0.2">
      <c r="L457" s="17"/>
      <c r="M457" s="17"/>
      <c r="N457" s="17"/>
      <c r="O457" s="17"/>
      <c r="P457" s="17"/>
      <c r="Q457" s="17"/>
      <c r="R457" s="17"/>
      <c r="S457" s="17"/>
      <c r="T457" s="17"/>
      <c r="U457" s="17"/>
      <c r="V457" s="17"/>
      <c r="Y457" s="17"/>
      <c r="AE457" s="16"/>
      <c r="AH457" s="17"/>
    </row>
    <row r="458" spans="12:34" x14ac:dyDescent="0.2">
      <c r="L458" s="17"/>
      <c r="M458" s="17"/>
      <c r="N458" s="17"/>
      <c r="O458" s="17"/>
      <c r="P458" s="17"/>
      <c r="Q458" s="17"/>
      <c r="R458" s="17"/>
      <c r="S458" s="17"/>
      <c r="T458" s="17"/>
      <c r="U458" s="17"/>
      <c r="V458" s="17"/>
      <c r="Y458" s="17"/>
      <c r="AE458" s="16"/>
      <c r="AH458" s="17"/>
    </row>
    <row r="459" spans="12:34" x14ac:dyDescent="0.2">
      <c r="L459" s="17"/>
      <c r="M459" s="17"/>
      <c r="N459" s="17"/>
      <c r="O459" s="17"/>
      <c r="P459" s="17"/>
      <c r="Q459" s="17"/>
      <c r="R459" s="17"/>
      <c r="S459" s="17"/>
      <c r="T459" s="17"/>
      <c r="U459" s="17"/>
      <c r="V459" s="17"/>
      <c r="Y459" s="17"/>
      <c r="AE459" s="16"/>
      <c r="AH459" s="17"/>
    </row>
    <row r="460" spans="12:34" x14ac:dyDescent="0.2">
      <c r="L460" s="17"/>
      <c r="M460" s="17"/>
      <c r="N460" s="17"/>
      <c r="O460" s="17"/>
      <c r="P460" s="17"/>
      <c r="Q460" s="17"/>
      <c r="R460" s="17"/>
      <c r="S460" s="17"/>
      <c r="T460" s="17"/>
      <c r="U460" s="17"/>
      <c r="V460" s="17"/>
      <c r="Y460" s="17"/>
      <c r="AE460" s="16"/>
      <c r="AH460" s="17"/>
    </row>
    <row r="461" spans="12:34" x14ac:dyDescent="0.2">
      <c r="L461" s="17"/>
      <c r="M461" s="17"/>
      <c r="N461" s="17"/>
      <c r="O461" s="17"/>
      <c r="P461" s="17"/>
      <c r="Q461" s="17"/>
      <c r="R461" s="17"/>
      <c r="S461" s="17"/>
      <c r="T461" s="17"/>
      <c r="U461" s="17"/>
      <c r="V461" s="17"/>
      <c r="Y461" s="17"/>
      <c r="AE461" s="16"/>
      <c r="AH461" s="17"/>
    </row>
    <row r="462" spans="12:34" x14ac:dyDescent="0.2">
      <c r="L462" s="17"/>
      <c r="M462" s="17"/>
      <c r="N462" s="17"/>
      <c r="O462" s="17"/>
      <c r="P462" s="17"/>
      <c r="Q462" s="17"/>
      <c r="R462" s="17"/>
      <c r="S462" s="17"/>
      <c r="T462" s="17"/>
      <c r="U462" s="17"/>
      <c r="V462" s="17"/>
      <c r="Y462" s="17"/>
      <c r="AE462" s="16"/>
      <c r="AH462" s="17"/>
    </row>
    <row r="463" spans="12:34" x14ac:dyDescent="0.2">
      <c r="L463" s="17"/>
      <c r="M463" s="17"/>
      <c r="N463" s="17"/>
      <c r="O463" s="17"/>
      <c r="P463" s="17"/>
      <c r="Q463" s="17"/>
      <c r="R463" s="17"/>
      <c r="S463" s="17"/>
      <c r="T463" s="17"/>
      <c r="U463" s="17"/>
      <c r="V463" s="17"/>
      <c r="Y463" s="17"/>
      <c r="AE463" s="16"/>
      <c r="AH463" s="17"/>
    </row>
    <row r="464" spans="12:34" x14ac:dyDescent="0.2">
      <c r="L464" s="17"/>
      <c r="M464" s="17"/>
      <c r="N464" s="17"/>
      <c r="O464" s="17"/>
      <c r="P464" s="17"/>
      <c r="Q464" s="17"/>
      <c r="R464" s="17"/>
      <c r="S464" s="17"/>
      <c r="T464" s="17"/>
      <c r="U464" s="17"/>
      <c r="V464" s="17"/>
      <c r="Y464" s="17"/>
      <c r="AE464" s="16"/>
      <c r="AH464" s="17"/>
    </row>
    <row r="465" spans="12:34" x14ac:dyDescent="0.2">
      <c r="L465" s="17"/>
      <c r="M465" s="17"/>
      <c r="N465" s="17"/>
      <c r="O465" s="17"/>
      <c r="P465" s="17"/>
      <c r="Q465" s="17"/>
      <c r="R465" s="17"/>
      <c r="S465" s="17"/>
      <c r="T465" s="17"/>
      <c r="U465" s="17"/>
      <c r="V465" s="17"/>
      <c r="Y465" s="17"/>
      <c r="AH465" s="17"/>
    </row>
    <row r="470" spans="12:34" ht="30" customHeight="1" x14ac:dyDescent="0.2"/>
  </sheetData>
  <autoFilter ref="A2:AH299">
    <sortState ref="A3:AH294">
      <sortCondition ref="M2:M290"/>
    </sortState>
  </autoFilter>
  <mergeCells count="2">
    <mergeCell ref="B1:AH1"/>
    <mergeCell ref="AI127:AI286"/>
  </mergeCells>
  <phoneticPr fontId="5" type="noConversion"/>
  <conditionalFormatting sqref="AG280:AH280">
    <cfRule type="uniqueValues" dxfId="22" priority="19"/>
  </conditionalFormatting>
  <conditionalFormatting sqref="AG282:AH282">
    <cfRule type="uniqueValues" dxfId="21" priority="18"/>
  </conditionalFormatting>
  <conditionalFormatting sqref="AG284:AH284">
    <cfRule type="uniqueValues" dxfId="20" priority="17"/>
  </conditionalFormatting>
  <conditionalFormatting sqref="AG285:AH285">
    <cfRule type="uniqueValues" dxfId="19" priority="16"/>
  </conditionalFormatting>
  <conditionalFormatting sqref="AG287:AH287">
    <cfRule type="uniqueValues" dxfId="18" priority="15"/>
  </conditionalFormatting>
  <conditionalFormatting sqref="AG290:AH290">
    <cfRule type="uniqueValues" dxfId="17" priority="14"/>
  </conditionalFormatting>
  <conditionalFormatting sqref="AG294:AH294">
    <cfRule type="uniqueValues" dxfId="16" priority="9"/>
  </conditionalFormatting>
  <conditionalFormatting sqref="AG291:AH291">
    <cfRule type="uniqueValues" dxfId="15" priority="12"/>
  </conditionalFormatting>
  <conditionalFormatting sqref="AG292:AH292">
    <cfRule type="uniqueValues" dxfId="14" priority="11"/>
  </conditionalFormatting>
  <conditionalFormatting sqref="AG293:AH293">
    <cfRule type="uniqueValues" dxfId="13" priority="10"/>
  </conditionalFormatting>
  <conditionalFormatting sqref="AG295:AH295">
    <cfRule type="uniqueValues" dxfId="12" priority="6"/>
  </conditionalFormatting>
  <conditionalFormatting sqref="AG296:AH296">
    <cfRule type="uniqueValues" dxfId="11" priority="5"/>
  </conditionalFormatting>
  <conditionalFormatting sqref="AG297:AH297">
    <cfRule type="uniqueValues" dxfId="10" priority="4"/>
  </conditionalFormatting>
  <conditionalFormatting sqref="AG298:AH298">
    <cfRule type="uniqueValues" dxfId="9" priority="3"/>
  </conditionalFormatting>
  <conditionalFormatting sqref="AG299:AH299">
    <cfRule type="uniqueValues" dxfId="8" priority="1"/>
  </conditionalFormatting>
  <dataValidations count="7">
    <dataValidation type="list" allowBlank="1" showInputMessage="1" showErrorMessage="1" sqref="I3:I299">
      <formula1>"BAJO, MEDIO, ALTO"</formula1>
    </dataValidation>
    <dataValidation type="list" allowBlank="1" showInputMessage="1" showErrorMessage="1" sqref="W4:W23 W25:W28 W33:W41 W49:W87 W89:W113 W115:W117 W120:W121 W125:W134 W138:W173 W175:W299">
      <formula1>"ATENCIÓN AL PUEBLO, OTRAS INSTANCIAS"</formula1>
    </dataValidation>
    <dataValidation type="list" allowBlank="1" showInputMessage="1" showErrorMessage="1" sqref="W3">
      <formula1>"ATENCIÓN AL PUEBLO, OTRAS INSTANCIAS, SEGUIMIENTO A SOLICITUDES 2025"</formula1>
    </dataValidation>
    <dataValidation type="list" allowBlank="1" showInputMessage="1" showErrorMessage="1" sqref="O109:O118 N3:N55 N57:N59 P47:P55 S60:U76 O73:Q73 N61:N63 O75:Q75 O81:Q82 O77:U79 S80:U81 R82:U82 O290:U290 R85:U85 Q83:U84 O68:O71 O94 O96:O98 O100 O102 Q86:U105 O105:O107 P74 P72 P80 P76 P3:P45 S106 Q106:Q144 O153:O163 O173:U173 T106:U172 S108:S149 S174:S202 S167:S172 S151:S165 S223:S231 S249:S252 R172 M219:M221 S204:S221 O209:O221 R238:U240 R183:R233 T174:U233 S3:S58 O292:U299 M239:M240 O165:O171 Q165:Q171 R106:R170 P83:P172 P174:R180 N286 O227:O231 P181:Q207 Q209:Q231 O199:O200 P208:P231 O206:O207 O175:O197 R243:R252 T243:U252 S243:S247 O146:O151 N72:N231 N246 N261 N277 O202:O204 T3:T59 R3:R59 M233:P233 Q146:Q163 O83 N288:N299 O121:O144 P56:Q71 O56:O66 O86:O88 O90:O92">
      <formula1>"SI, NO, N/A"</formula1>
    </dataValidation>
    <dataValidation type="list" allowBlank="1" showInputMessage="1" showErrorMessage="1" sqref="AH3:AH41 AH49:AH50 AH52 AH54:AH59 AH61:AH63 AH66:AH67 AH72:AH78 AH80:AH86 AH89:AH109 AH111:AH112 AH125 AH127:AH132 AH146:AH156 AH281 AH238:AH239 AH243:AH252 AH258:AH259 Z168 AH222:AH232 AH270 AH272:AH277 AH279 AH266 AH283 AH159 AH164:AH174 AH176:AH184 AH189:AH205 AH207:AH208 AH219 AH234:AH235 AH261:AH264 AH286 AH288:AH289">
      <formula1>"ZONA PACHUCA, ZONA TULA, ZONA TULANCINGO, ZONA IXMIQUILPAN, ZONA HUEJUTLA "</formula1>
    </dataValidation>
    <dataValidation type="list" allowBlank="1" showInputMessage="1" showErrorMessage="1" sqref="W29:W32 W42:W48 W24 W88 W114 W118:W119 W122:W124 W135:W137">
      <formula1>"OTRAS INSTANCIAS, SEGUIMIENTO A SOLICITUDES"</formula1>
    </dataValidation>
    <dataValidation type="list" allowBlank="1" showInputMessage="1" showErrorMessage="1" sqref="X147 X135:X137 X111 X114 X104 X118:X119 X132 X122:X124 X238 X246 X250">
      <formula1>$M$3:$M$16</formula1>
    </dataValidation>
  </dataValidations>
  <hyperlinks>
    <hyperlink ref="AC192" r:id="rId1"/>
    <hyperlink ref="AC222" r:id="rId2"/>
    <hyperlink ref="AC225" r:id="rId3"/>
    <hyperlink ref="AC18" r:id="rId4"/>
    <hyperlink ref="AC19" r:id="rId5"/>
    <hyperlink ref="AC7" r:id="rId6"/>
    <hyperlink ref="AC91" r:id="rId7"/>
    <hyperlink ref="AC223" r:id="rId8"/>
    <hyperlink ref="AC21" r:id="rId9"/>
    <hyperlink ref="AC269" r:id="rId10"/>
    <hyperlink ref="AC219" r:id="rId11"/>
    <hyperlink ref="AC168" r:id="rId12"/>
    <hyperlink ref="AC194" r:id="rId13"/>
    <hyperlink ref="AC94" r:id="rId14"/>
    <hyperlink ref="AC100" r:id="rId15"/>
    <hyperlink ref="AC244" r:id="rId16"/>
  </hyperlinks>
  <pageMargins left="0.25" right="0.25" top="0.75" bottom="0.75" header="0.3" footer="0.3"/>
  <pageSetup scale="10" fitToWidth="0" orientation="portrait" r:id="rId17"/>
  <headerFooter>
    <oddFooter xml:space="preserve">&amp;L&amp;D&amp;CElaboró: L.A. Areli Hernández Jiménez </oddFooter>
  </headerFooter>
  <rowBreaks count="2" manualBreakCount="2">
    <brk id="14" max="35" man="1"/>
    <brk id="244" max="35" man="1"/>
  </rowBreaks>
  <drawing r:id="rId18"/>
  <extLst>
    <ext xmlns:x14="http://schemas.microsoft.com/office/spreadsheetml/2009/9/main" uri="{CCE6A557-97BC-4b89-ADB6-D9C93CAAB3DF}">
      <x14:dataValidations xmlns:xm="http://schemas.microsoft.com/office/excel/2006/main" count="16">
        <x14:dataValidation type="list" allowBlank="1" showInputMessage="1" showErrorMessage="1">
          <x14:formula1>
            <xm:f>Clasificaciones!$A$2:$A$12</xm:f>
          </x14:formula1>
          <xm:sqref>H3:H14 H16:H33</xm:sqref>
        </x14:dataValidation>
        <x14:dataValidation type="list" allowBlank="1" showInputMessage="1" showErrorMessage="1">
          <x14:formula1>
            <xm:f>Clasificaciones!#REF!</xm:f>
          </x14:formula1>
          <xm:sqref>H2 AG2 AG5:AG6 AG8 AG16 AG18:AG19 AG22 AG25 AG36:AG41 AG49:AG50 AG52 AG54:AG59 AG61:AG63 AG66:AG67 AG72:AG78 AG80:AG86 AG89:AG109 AG111:AG112 AG125 AG127:AG132 AG146:AG156 H300:I1048576 AG189:AG205 AG207:AG208 AG234:AG235 AG223:AG231 AG238:AG239 AG243:AG252 AG258:AG259 AG300:AG1048576 AG266 AG176:AG184 AG270 AG272:AG277 AG279 AG281 AG283 AG159 AG164:AG174 AG261:AG264 AG286 AG288:AG289 K300:K1048576</xm:sqref>
        </x14:dataValidation>
        <x14:dataValidation type="list" allowBlank="1" showInputMessage="1" showErrorMessage="1">
          <x14:formula1>
            <xm:f>Clasificaciones!$A$2:$A$13</xm:f>
          </x14:formula1>
          <xm:sqref>H15 H205:H208 H34:H203 H212:H215 H217:H218</xm:sqref>
        </x14:dataValidation>
        <x14:dataValidation type="list" allowBlank="1" showInputMessage="1" showErrorMessage="1">
          <x14:formula1>
            <xm:f>Clasificaciones!$D$2:$D$4</xm:f>
          </x14:formula1>
          <xm:sqref>K3:K299</xm:sqref>
        </x14:dataValidation>
        <x14:dataValidation type="list" allowBlank="1" showInputMessage="1" showErrorMessage="1">
          <x14:formula1>
            <xm:f>Clasificaciones!$G$2:$G$8</xm:f>
          </x14:formula1>
          <xm:sqref>V3:V173 V175:V299</xm:sqref>
        </x14:dataValidation>
        <x14:dataValidation type="list" allowBlank="1" showInputMessage="1" showErrorMessage="1">
          <x14:formula1>
            <xm:f>Clasificaciones!$M$2:$M$13</xm:f>
          </x14:formula1>
          <xm:sqref>X278:X1048576 X150:X157 R171 R181:R182 X160:X189 X191:X237 X239:X245 X247:X249 X251:X269 X271:X276 X2:X88</xm:sqref>
        </x14:dataValidation>
        <x14:dataValidation type="list" allowBlank="1" showInputMessage="1" showErrorMessage="1">
          <x14:formula1>
            <xm:f>Clasificaciones!$M$2:$M$12</xm:f>
          </x14:formula1>
          <xm:sqref>X105:X110 X133:X134 X125:X131 X120:X121 X115:X117 X90:X103 X112:X113 X138:X146 X148:X149 X158:X159</xm:sqref>
        </x14:dataValidation>
        <x14:dataValidation type="list" allowBlank="1" showInputMessage="1" showErrorMessage="1">
          <x14:formula1>
            <xm:f>Clasificaciones!$AC$2:$AC$3</xm:f>
          </x14:formula1>
          <xm:sqref>AB63 AA3:AA299</xm:sqref>
        </x14:dataValidation>
        <x14:dataValidation type="list" allowBlank="1" showInputMessage="1" showErrorMessage="1">
          <x14:formula1>
            <xm:f>Clasificaciones!$A$2:$A$14</xm:f>
          </x14:formula1>
          <xm:sqref>H204</xm:sqref>
        </x14:dataValidation>
        <x14:dataValidation type="list" allowBlank="1" showInputMessage="1" showErrorMessage="1">
          <x14:formula1>
            <xm:f>Clasificaciones!$A$2:$A$15</xm:f>
          </x14:formula1>
          <xm:sqref>H209:H211</xm:sqref>
        </x14:dataValidation>
        <x14:dataValidation type="list" allowBlank="1" showInputMessage="1" showErrorMessage="1">
          <x14:formula1>
            <xm:f>Clasificaciones!$A$2:$A$17</xm:f>
          </x14:formula1>
          <xm:sqref>H216 H219:H295 H297:H299</xm:sqref>
        </x14:dataValidation>
        <x14:dataValidation type="list" allowBlank="1" showInputMessage="1" showErrorMessage="1">
          <x14:formula1>
            <xm:f>Clasificaciones!$W$2:$W$13</xm:f>
          </x14:formula1>
          <xm:sqref>C3:C1048576</xm:sqref>
        </x14:dataValidation>
        <x14:dataValidation type="list" allowBlank="1" showInputMessage="1" showErrorMessage="1">
          <x14:formula1>
            <xm:f>Clasificaciones!$T$2:$T$87</xm:f>
          </x14:formula1>
          <xm:sqref>Y3:Y1048576</xm:sqref>
        </x14:dataValidation>
        <x14:dataValidation type="list" allowBlank="1" showInputMessage="1" showErrorMessage="1">
          <x14:formula1>
            <xm:f>Clasificaciones!$M$2:$M$14</xm:f>
          </x14:formula1>
          <xm:sqref>X89 X270 X190</xm:sqref>
        </x14:dataValidation>
        <x14:dataValidation type="list" allowBlank="1" showInputMessage="1" showErrorMessage="1">
          <x14:formula1>
            <xm:f>Clasificaciones!$M$2:$M$15</xm:f>
          </x14:formula1>
          <xm:sqref>X277</xm:sqref>
        </x14:dataValidation>
        <x14:dataValidation type="list" allowBlank="1" showInputMessage="1" showErrorMessage="1">
          <x14:formula1>
            <xm:f>Clasificaciones!$A$2:$A$18</xm:f>
          </x14:formula1>
          <xm:sqref>H296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AE88"/>
  <sheetViews>
    <sheetView topLeftCell="A5" zoomScaleNormal="100" workbookViewId="0">
      <selection activeCell="A18" sqref="A18"/>
    </sheetView>
  </sheetViews>
  <sheetFormatPr baseColWidth="10" defaultRowHeight="12.75" x14ac:dyDescent="0.2"/>
  <cols>
    <col min="1" max="1" width="20.42578125" customWidth="1"/>
    <col min="2" max="2" width="14.42578125" customWidth="1"/>
    <col min="3" max="3" width="5.28515625" customWidth="1"/>
    <col min="4" max="5" width="14.42578125" customWidth="1"/>
    <col min="6" max="6" width="5.28515625" customWidth="1"/>
    <col min="7" max="7" width="27.42578125" customWidth="1"/>
    <col min="8" max="8" width="14.42578125" customWidth="1"/>
    <col min="9" max="9" width="5.28515625" customWidth="1"/>
    <col min="10" max="11" width="14.42578125" customWidth="1"/>
    <col min="12" max="12" width="5.28515625" customWidth="1"/>
    <col min="13" max="13" width="88.85546875" customWidth="1"/>
    <col min="14" max="14" width="8.7109375" customWidth="1"/>
    <col min="15" max="15" width="4.42578125" customWidth="1"/>
    <col min="16" max="18" width="20.42578125" customWidth="1"/>
    <col min="19" max="19" width="4.42578125" customWidth="1"/>
    <col min="20" max="20" width="46.140625" customWidth="1"/>
    <col min="21" max="21" width="27.28515625" customWidth="1"/>
    <col min="22" max="22" width="4.42578125" customWidth="1"/>
    <col min="23" max="23" width="36" customWidth="1"/>
    <col min="24" max="24" width="29.28515625" customWidth="1"/>
    <col min="26" max="26" width="13.140625" bestFit="1" customWidth="1"/>
    <col min="27" max="27" width="13.85546875" customWidth="1"/>
    <col min="29" max="29" width="30.140625" customWidth="1"/>
    <col min="30" max="30" width="24.140625" customWidth="1"/>
  </cols>
  <sheetData>
    <row r="1" spans="1:31" ht="57.75" customHeight="1" x14ac:dyDescent="0.3">
      <c r="A1" s="43" t="s">
        <v>1</v>
      </c>
      <c r="B1" s="43" t="s">
        <v>167</v>
      </c>
      <c r="C1" s="46"/>
      <c r="D1" s="52" t="s">
        <v>169</v>
      </c>
      <c r="E1" s="52" t="s">
        <v>147</v>
      </c>
      <c r="F1" s="46"/>
      <c r="G1" s="52" t="s">
        <v>172</v>
      </c>
      <c r="H1" s="52" t="s">
        <v>171</v>
      </c>
      <c r="I1" s="58"/>
      <c r="J1" s="52" t="s">
        <v>180</v>
      </c>
      <c r="K1" s="52" t="s">
        <v>171</v>
      </c>
      <c r="M1" s="51" t="s">
        <v>5</v>
      </c>
      <c r="N1" s="51" t="s">
        <v>6</v>
      </c>
      <c r="O1" s="61"/>
      <c r="P1" s="51" t="s">
        <v>182</v>
      </c>
      <c r="Q1" s="51" t="s">
        <v>183</v>
      </c>
      <c r="R1" s="51" t="s">
        <v>184</v>
      </c>
      <c r="S1" s="61"/>
      <c r="T1" s="51" t="s">
        <v>185</v>
      </c>
      <c r="U1" s="51" t="s">
        <v>186</v>
      </c>
      <c r="V1" s="61"/>
      <c r="W1" s="5" t="s">
        <v>118</v>
      </c>
      <c r="X1" s="5" t="s">
        <v>119</v>
      </c>
      <c r="Z1" s="3" t="s">
        <v>126</v>
      </c>
      <c r="AA1" s="4" t="s">
        <v>127</v>
      </c>
      <c r="AC1" s="52" t="s">
        <v>187</v>
      </c>
      <c r="AD1" s="52" t="s">
        <v>171</v>
      </c>
    </row>
    <row r="2" spans="1:31" ht="18.75" customHeight="1" x14ac:dyDescent="0.3">
      <c r="A2" s="39" t="s">
        <v>4</v>
      </c>
      <c r="B2" s="41">
        <f>COUNTIF('Correspondencia AEEH 2026'!$H$3:$H$1048576,Clasificaciones!A2)</f>
        <v>38</v>
      </c>
      <c r="C2" s="44"/>
      <c r="D2" s="47" t="s">
        <v>2</v>
      </c>
      <c r="E2" s="49">
        <f>COUNTIF('Correspondencia AEEH 2026'!$K$3:$K$1048576,Clasificaciones!D2)</f>
        <v>282</v>
      </c>
      <c r="F2" s="44"/>
      <c r="G2" s="53" t="s">
        <v>179</v>
      </c>
      <c r="H2" s="49">
        <f>COUNTIF('Correspondencia AEEH 2026'!$K$3:$V$1048576,Clasificaciones!G2)</f>
        <v>8</v>
      </c>
      <c r="I2" s="56"/>
      <c r="J2" s="47" t="s">
        <v>2</v>
      </c>
      <c r="K2" s="49">
        <f>COUNTIF('Correspondencia AEEH 2026'!$W$3:$W$1048576,Clasificaciones!J2)</f>
        <v>0</v>
      </c>
      <c r="M2" s="71" t="s">
        <v>165</v>
      </c>
      <c r="N2" s="23">
        <f>COUNTIF('Correspondencia AEEH 2026'!$X$3:$X$1048576,Clasificaciones!M2)</f>
        <v>8</v>
      </c>
      <c r="O2" s="9"/>
      <c r="P2" s="2">
        <f>COUNTA(T2:T87)</f>
        <v>84</v>
      </c>
      <c r="Q2" s="23">
        <f>COUNTIF(T2:U87, "&gt;0")</f>
        <v>62</v>
      </c>
      <c r="R2" s="23">
        <f>COUNTIF(T2:U87, 0)</f>
        <v>22</v>
      </c>
      <c r="S2" s="9"/>
      <c r="T2" s="6" t="s">
        <v>8</v>
      </c>
      <c r="U2" s="7">
        <f>COUNTIF('Correspondencia AEEH 2026'!$Y$3:$Y$1048576,Clasificaciones!T2)</f>
        <v>0</v>
      </c>
      <c r="W2" s="7" t="s">
        <v>105</v>
      </c>
      <c r="X2" s="7">
        <f>COUNTIF('Correspondencia AEEH 2026'!$C$3:$C$1048576,Clasificaciones!W2)</f>
        <v>6</v>
      </c>
      <c r="Z2" s="7" t="s">
        <v>105</v>
      </c>
      <c r="AA2" s="33">
        <f>SUMIF('Correspondencia AEEH 2026'!C:C,Clasificaciones!Z2,'Correspondencia AEEH 2026'!AF:AF)</f>
        <v>708</v>
      </c>
      <c r="AC2" s="47" t="s">
        <v>188</v>
      </c>
      <c r="AD2" s="76">
        <f>COUNTIF('Correspondencia AEEH 2026'!$AA$3:$AA$1048576,Clasificaciones!AC2)</f>
        <v>123</v>
      </c>
    </row>
    <row r="3" spans="1:31" ht="30.75" customHeight="1" x14ac:dyDescent="0.3">
      <c r="A3" s="40" t="s">
        <v>141</v>
      </c>
      <c r="B3" s="41">
        <f>COUNTIF('Correspondencia AEEH 2026'!$H$3:$H$1048576,Clasificaciones!A3)</f>
        <v>0</v>
      </c>
      <c r="C3" s="44"/>
      <c r="D3" s="39" t="s">
        <v>3</v>
      </c>
      <c r="E3" s="49">
        <f>COUNTIF('Correspondencia AEEH 2026'!$K$3:$K$1048576,Clasificaciones!D3)</f>
        <v>0</v>
      </c>
      <c r="F3" s="44"/>
      <c r="G3" s="53" t="s">
        <v>173</v>
      </c>
      <c r="H3" s="49">
        <f>COUNTIF('Correspondencia AEEH 2026'!$K$3:$V$1048576,Clasificaciones!G3)</f>
        <v>128</v>
      </c>
      <c r="I3" s="56"/>
      <c r="J3" s="39" t="s">
        <v>3</v>
      </c>
      <c r="K3" s="49">
        <f>COUNTIF('Correspondencia AEEH 2026'!$W$3:$W$1048576,Clasificaciones!J3)</f>
        <v>0</v>
      </c>
      <c r="M3" s="38" t="s">
        <v>166</v>
      </c>
      <c r="N3" s="23">
        <f>COUNTIF('Correspondencia AEEH 2026'!$X$3:$X$1048576,Clasificaciones!M3)</f>
        <v>47</v>
      </c>
      <c r="O3" s="9"/>
      <c r="P3" s="9"/>
      <c r="Q3" s="9"/>
      <c r="R3" s="9"/>
      <c r="S3" s="9"/>
      <c r="T3" s="6" t="s">
        <v>9</v>
      </c>
      <c r="U3" s="7">
        <f>COUNTIF('Correspondencia AEEH 2026'!$Y$3:$Y$1048576,Clasificaciones!T3)</f>
        <v>4</v>
      </c>
      <c r="W3" s="7" t="s">
        <v>106</v>
      </c>
      <c r="X3" s="7">
        <f>COUNTIF('Correspondencia AEEH 2026'!$C$3:$C$1048576,Clasificaciones!W3)</f>
        <v>42</v>
      </c>
      <c r="Z3" s="7" t="s">
        <v>106</v>
      </c>
      <c r="AA3" s="33">
        <f>SUMIF('Correspondencia AEEH 2026'!C:C,Clasificaciones!Z3,'Correspondencia AEEH 2026'!AF:AF)</f>
        <v>2767</v>
      </c>
      <c r="AC3" s="39" t="s">
        <v>189</v>
      </c>
      <c r="AD3" s="49">
        <f>COUNTIF('Correspondencia AEEH 2026'!$AA$3:$AA$1048576,Clasificaciones!AC3)</f>
        <v>63</v>
      </c>
    </row>
    <row r="4" spans="1:31" ht="15" x14ac:dyDescent="0.3">
      <c r="A4" s="40" t="s">
        <v>142</v>
      </c>
      <c r="B4" s="41">
        <f>COUNTIF('Correspondencia AEEH 2026'!$H$3:$H$1048576,Clasificaciones!A4)</f>
        <v>123</v>
      </c>
      <c r="C4" s="44"/>
      <c r="D4" s="39" t="s">
        <v>170</v>
      </c>
      <c r="E4" s="49">
        <f>COUNTIF('Correspondencia AEEH 2026'!$K$3:$K$1048576,Clasificaciones!D4)</f>
        <v>15</v>
      </c>
      <c r="F4" s="44"/>
      <c r="G4" s="54" t="s">
        <v>174</v>
      </c>
      <c r="H4" s="49">
        <f>COUNTIF('Correspondencia AEEH 2026'!$K$3:$V$1048576,Clasificaciones!G4)</f>
        <v>28</v>
      </c>
      <c r="I4" s="56"/>
      <c r="J4" s="48" t="s">
        <v>128</v>
      </c>
      <c r="K4" s="50">
        <f>SUM(K2:K3)</f>
        <v>0</v>
      </c>
      <c r="M4" s="38" t="s">
        <v>1039</v>
      </c>
      <c r="N4" s="23">
        <f>COUNTIF('Correspondencia AEEH 2026'!$X$3:$X$1048576,Clasificaciones!M4)</f>
        <v>58</v>
      </c>
      <c r="O4" s="9"/>
      <c r="P4" s="9"/>
      <c r="Q4" s="9"/>
      <c r="R4" s="9"/>
      <c r="S4" s="9"/>
      <c r="T4" s="6" t="s">
        <v>10</v>
      </c>
      <c r="U4" s="7">
        <f>COUNTIF('Correspondencia AEEH 2026'!$Y$3:$Y$1048576,Clasificaciones!T4)</f>
        <v>1</v>
      </c>
      <c r="W4" s="7" t="s">
        <v>107</v>
      </c>
      <c r="X4" s="7">
        <f>COUNTIF('Correspondencia AEEH 2026'!$C$3:$C$1048576,Clasificaciones!W4)</f>
        <v>37</v>
      </c>
      <c r="Z4" s="7" t="s">
        <v>107</v>
      </c>
      <c r="AA4" s="33">
        <f>SUMIF('Correspondencia AEEH 2026'!C:C,Clasificaciones!Z4,'Correspondencia AEEH 2026'!AF:AF)</f>
        <v>4624</v>
      </c>
      <c r="AC4" s="39" t="s">
        <v>188</v>
      </c>
      <c r="AD4" s="49">
        <f>COUNTIF('Correspondencia AEEH 2026'!$AA$3:$AA$1048576,Clasificaciones!AC4)</f>
        <v>123</v>
      </c>
    </row>
    <row r="5" spans="1:31" ht="30" x14ac:dyDescent="0.3">
      <c r="A5" s="40" t="s">
        <v>143</v>
      </c>
      <c r="B5" s="41">
        <f>COUNTIF('Correspondencia AEEH 2026'!$H$3:$H$1048576,Clasificaciones!A5)</f>
        <v>8</v>
      </c>
      <c r="C5" s="44"/>
      <c r="D5" s="48" t="s">
        <v>128</v>
      </c>
      <c r="E5" s="50">
        <f>SUM(E2:E4)</f>
        <v>297</v>
      </c>
      <c r="F5" s="44"/>
      <c r="G5" s="54" t="s">
        <v>175</v>
      </c>
      <c r="H5" s="49">
        <f>COUNTIF('Correspondencia AEEH 2026'!$K$3:$V$1048576,Clasificaciones!G5)</f>
        <v>72</v>
      </c>
      <c r="I5" s="56"/>
      <c r="J5" s="56"/>
      <c r="K5" s="56"/>
      <c r="M5" s="38" t="s">
        <v>1040</v>
      </c>
      <c r="N5" s="23">
        <f>COUNTIF('Correspondencia AEEH 2026'!$X$3:$X$1048576,Clasificaciones!M5)</f>
        <v>9</v>
      </c>
      <c r="O5" s="9"/>
      <c r="P5" s="9"/>
      <c r="Q5" s="9"/>
      <c r="R5" s="9"/>
      <c r="S5" s="9"/>
      <c r="T5" s="6" t="s">
        <v>11</v>
      </c>
      <c r="U5" s="7">
        <f>COUNTIF('Correspondencia AEEH 2026'!$Y$3:$Y$1048576,Clasificaciones!T5)</f>
        <v>1</v>
      </c>
      <c r="W5" s="7" t="s">
        <v>108</v>
      </c>
      <c r="X5" s="7">
        <f>COUNTIF('Correspondencia AEEH 2026'!$C$3:$C$1048576,Clasificaciones!W5)</f>
        <v>37</v>
      </c>
      <c r="Z5" s="7" t="s">
        <v>108</v>
      </c>
      <c r="AA5" s="33">
        <f>SUMIF('Correspondencia AEEH 2026'!C:C,Clasificaciones!Z5,'Correspondencia AEEH 2026'!AF:AF)</f>
        <v>2696</v>
      </c>
      <c r="AC5" s="92" t="s">
        <v>128</v>
      </c>
      <c r="AD5" s="93">
        <f>SUM(AD3:AD4)</f>
        <v>186</v>
      </c>
    </row>
    <row r="6" spans="1:31" ht="15" x14ac:dyDescent="0.3">
      <c r="A6" s="40" t="s">
        <v>140</v>
      </c>
      <c r="B6" s="41">
        <f>COUNTIF('Correspondencia AEEH 2026'!$H$3:$H$1048576,Clasificaciones!A6)</f>
        <v>54</v>
      </c>
      <c r="C6" s="44"/>
      <c r="D6" s="44"/>
      <c r="E6" s="44"/>
      <c r="F6" s="44"/>
      <c r="G6" s="54" t="s">
        <v>176</v>
      </c>
      <c r="H6" s="49">
        <f>COUNTIF('Correspondencia AEEH 2026'!$K$3:$V$1048576,Clasificaciones!G6)</f>
        <v>49</v>
      </c>
      <c r="I6" s="56"/>
      <c r="J6" s="56"/>
      <c r="K6" s="56"/>
      <c r="M6" s="38" t="s">
        <v>1041</v>
      </c>
      <c r="N6" s="23">
        <f>COUNTIF('Correspondencia AEEH 2026'!$X$3:$X$1048576,Clasificaciones!M6)</f>
        <v>0</v>
      </c>
      <c r="O6" s="9"/>
      <c r="P6" s="9"/>
      <c r="Q6" s="9"/>
      <c r="R6" s="9"/>
      <c r="S6" s="9"/>
      <c r="T6" s="6" t="s">
        <v>12</v>
      </c>
      <c r="U6" s="7">
        <f>COUNTIF('Correspondencia AEEH 2026'!$Y$3:$Y$1048576,Clasificaciones!T6)</f>
        <v>4</v>
      </c>
      <c r="W6" s="7" t="s">
        <v>109</v>
      </c>
      <c r="X6" s="7">
        <f>COUNTIF('Correspondencia AEEH 2026'!$C$3:$C$1048576,Clasificaciones!W6)</f>
        <v>36</v>
      </c>
      <c r="Z6" s="7" t="s">
        <v>109</v>
      </c>
      <c r="AA6" s="33">
        <f>SUMIF('Correspondencia AEEH 2026'!C:C,Clasificaciones!Z6,'Correspondencia AEEH 2026'!AF:AF)</f>
        <v>2434</v>
      </c>
    </row>
    <row r="7" spans="1:31" ht="45" x14ac:dyDescent="0.3">
      <c r="A7" s="40" t="s">
        <v>144</v>
      </c>
      <c r="B7" s="41">
        <f>COUNTIF('Correspondencia AEEH 2026'!$H$3:$H$1048576,Clasificaciones!A7)</f>
        <v>0</v>
      </c>
      <c r="C7" s="44"/>
      <c r="D7" s="44"/>
      <c r="E7" s="44"/>
      <c r="F7" s="44"/>
      <c r="G7" s="54" t="s">
        <v>178</v>
      </c>
      <c r="H7" s="49">
        <f>COUNTIF('Correspondencia AEEH 2026'!$K$3:$V$1048576,Clasificaciones!G7)</f>
        <v>7</v>
      </c>
      <c r="I7" s="56"/>
      <c r="J7" s="56"/>
      <c r="K7" s="56"/>
      <c r="M7" s="38" t="s">
        <v>1042</v>
      </c>
      <c r="N7" s="23">
        <f>COUNTIF('Correspondencia AEEH 2026'!$X$3:$X$1048576,Clasificaciones!M7)</f>
        <v>5</v>
      </c>
      <c r="O7" s="9"/>
      <c r="P7" s="9"/>
      <c r="Q7" s="9"/>
      <c r="R7" s="9"/>
      <c r="S7" s="9"/>
      <c r="T7" s="6" t="s">
        <v>13</v>
      </c>
      <c r="U7" s="7">
        <f>COUNTIF('Correspondencia AEEH 2026'!$Y$3:$Y$1048576,Clasificaciones!T7)</f>
        <v>4</v>
      </c>
      <c r="W7" s="7" t="s">
        <v>110</v>
      </c>
      <c r="X7" s="7">
        <f>COUNTIF('Correspondencia AEEH 2026'!$C$3:$C$1048576,Clasificaciones!W7)</f>
        <v>45</v>
      </c>
      <c r="Z7" s="7" t="s">
        <v>110</v>
      </c>
      <c r="AA7" s="33">
        <f>SUMIF('Correspondencia AEEH 2026'!C:C,Clasificaciones!Z7,'Correspondencia AEEH 2026'!AF:AF)</f>
        <v>0</v>
      </c>
    </row>
    <row r="8" spans="1:31" ht="29.25" customHeight="1" x14ac:dyDescent="0.3">
      <c r="A8" s="40" t="s">
        <v>145</v>
      </c>
      <c r="B8" s="41">
        <f>COUNTIF('Correspondencia AEEH 2026'!$H$3:$H$1048576,Clasificaciones!A8)</f>
        <v>0</v>
      </c>
      <c r="C8" s="44"/>
      <c r="D8" s="44"/>
      <c r="E8" s="44"/>
      <c r="F8" s="44"/>
      <c r="G8" s="54" t="s">
        <v>177</v>
      </c>
      <c r="H8" s="49">
        <f>COUNTIF('Correspondencia AEEH 2026'!$K$3:$V$1048576,Clasificaciones!G8)</f>
        <v>0</v>
      </c>
      <c r="I8" s="56"/>
      <c r="J8" s="57"/>
      <c r="K8" s="57"/>
      <c r="M8" s="71" t="s">
        <v>1047</v>
      </c>
      <c r="N8" s="23">
        <f>COUNTIF('Correspondencia AEEH 2026'!$X$3:$X$1048576,Clasificaciones!M8)</f>
        <v>100</v>
      </c>
      <c r="O8" s="9"/>
      <c r="P8" s="9"/>
      <c r="Q8" s="9"/>
      <c r="R8" s="9"/>
      <c r="S8" s="9"/>
      <c r="T8" s="6" t="s">
        <v>14</v>
      </c>
      <c r="U8" s="7">
        <f>COUNTIF('Correspondencia AEEH 2026'!$Y$3:$Y$1048576,Clasificaciones!T8)</f>
        <v>2</v>
      </c>
      <c r="W8" s="7" t="s">
        <v>111</v>
      </c>
      <c r="X8" s="7">
        <f>COUNTIF('Correspondencia AEEH 2026'!$C$3:$C$1048576,Clasificaciones!W8)</f>
        <v>31</v>
      </c>
      <c r="Z8" s="7" t="s">
        <v>111</v>
      </c>
      <c r="AA8" s="33">
        <f>SUMIF('Correspondencia AEEH 2026'!C:C,Clasificaciones!Z8,'Correspondencia AEEH 2026'!AF:AF)</f>
        <v>1</v>
      </c>
    </row>
    <row r="9" spans="1:31" ht="19.5" customHeight="1" x14ac:dyDescent="0.3">
      <c r="A9" s="40" t="s">
        <v>168</v>
      </c>
      <c r="B9" s="41">
        <f>COUNTIF('Correspondencia AEEH 2026'!$H$3:$H$1048576,Clasificaciones!A9)</f>
        <v>45</v>
      </c>
      <c r="C9" s="44"/>
      <c r="D9" s="44"/>
      <c r="E9" s="44"/>
      <c r="F9" s="44"/>
      <c r="G9" s="50" t="s">
        <v>128</v>
      </c>
      <c r="H9" s="50">
        <f>SUM(H2:H8)</f>
        <v>292</v>
      </c>
      <c r="I9" s="57"/>
      <c r="J9" s="44"/>
      <c r="K9" s="44"/>
      <c r="M9" s="38" t="s">
        <v>1043</v>
      </c>
      <c r="N9" s="23">
        <f>COUNTIF('Correspondencia AEEH 2026'!$X$3:$X$1048576,Clasificaciones!M9)</f>
        <v>25</v>
      </c>
      <c r="O9" s="9"/>
      <c r="P9" s="9"/>
      <c r="Q9" s="9"/>
      <c r="R9" s="9"/>
      <c r="S9" s="9"/>
      <c r="T9" s="6" t="s">
        <v>15</v>
      </c>
      <c r="U9" s="7">
        <f>COUNTIF('Correspondencia AEEH 2026'!$Y$3:$Y$1048576,Clasificaciones!T9)</f>
        <v>2</v>
      </c>
      <c r="W9" s="7" t="s">
        <v>112</v>
      </c>
      <c r="X9" s="7">
        <f>COUNTIF('Correspondencia AEEH 2026'!$C$3:$C$1048576,Clasificaciones!W9)</f>
        <v>51</v>
      </c>
      <c r="Z9" s="7" t="s">
        <v>112</v>
      </c>
      <c r="AA9" s="33">
        <f>SUMIF('Correspondencia AEEH 2026'!C:C,Clasificaciones!Z9,'Correspondencia AEEH 2026'!AF:AF)</f>
        <v>0</v>
      </c>
      <c r="AE9" s="24"/>
    </row>
    <row r="10" spans="1:31" ht="21" customHeight="1" x14ac:dyDescent="0.3">
      <c r="A10" s="40" t="s">
        <v>148</v>
      </c>
      <c r="B10" s="41">
        <f>COUNTIF('Correspondencia AEEH 2026'!$H$3:$H$1048576,Clasificaciones!A10)</f>
        <v>14</v>
      </c>
      <c r="C10" s="44"/>
      <c r="D10" s="44"/>
      <c r="E10" s="44"/>
      <c r="F10" s="44"/>
      <c r="G10" s="44"/>
      <c r="H10" s="44"/>
      <c r="I10" s="44"/>
      <c r="J10" s="44"/>
      <c r="K10" s="44"/>
      <c r="M10" s="38" t="s">
        <v>1044</v>
      </c>
      <c r="N10" s="23">
        <f>COUNTIF('Correspondencia AEEH 2026'!$X$3:$X$1048576,Clasificaciones!M10)</f>
        <v>0</v>
      </c>
      <c r="O10" s="9"/>
      <c r="P10" s="9"/>
      <c r="Q10" s="9"/>
      <c r="R10" s="9"/>
      <c r="S10" s="9"/>
      <c r="T10" s="6" t="s">
        <v>16</v>
      </c>
      <c r="U10" s="7">
        <f>COUNTIF('Correspondencia AEEH 2026'!$Y$3:$Y$1048576,Clasificaciones!T10)</f>
        <v>3</v>
      </c>
      <c r="W10" s="7" t="s">
        <v>113</v>
      </c>
      <c r="X10" s="7">
        <f>COUNTIF('Correspondencia AEEH 2026'!$C$3:$C$1048576,Clasificaciones!W10)</f>
        <v>12</v>
      </c>
      <c r="Z10" s="7" t="s">
        <v>113</v>
      </c>
      <c r="AA10" s="33">
        <f>SUMIF('Correspondencia AEEH 2026'!C:C,Clasificaciones!Z10,'Correspondencia AEEH 2026'!AF:AF)</f>
        <v>0</v>
      </c>
    </row>
    <row r="11" spans="1:31" ht="28.5" customHeight="1" x14ac:dyDescent="0.3">
      <c r="A11" s="40" t="s">
        <v>149</v>
      </c>
      <c r="B11" s="41">
        <f>COUNTIF('Correspondencia AEEH 2026'!$H$3:$H$1048576,Clasificaciones!A11)</f>
        <v>2</v>
      </c>
      <c r="C11" s="44"/>
      <c r="D11" s="44"/>
      <c r="E11" s="44"/>
      <c r="F11" s="44"/>
      <c r="G11" s="44"/>
      <c r="H11" s="44"/>
      <c r="I11" s="44"/>
      <c r="J11" s="44"/>
      <c r="K11" s="44"/>
      <c r="M11" s="38" t="s">
        <v>1045</v>
      </c>
      <c r="N11" s="23">
        <f>COUNTIF('Correspondencia AEEH 2026'!$X$3:$X$1048576,Clasificaciones!M11)</f>
        <v>0</v>
      </c>
      <c r="O11" s="9"/>
      <c r="P11" s="9"/>
      <c r="Q11" s="9"/>
      <c r="R11" s="9"/>
      <c r="S11" s="9"/>
      <c r="T11" s="6" t="s">
        <v>17</v>
      </c>
      <c r="U11" s="7">
        <f>COUNTIF('Correspondencia AEEH 2026'!$Y$3:$Y$1048576,Clasificaciones!T11)</f>
        <v>0</v>
      </c>
      <c r="W11" s="7" t="s">
        <v>114</v>
      </c>
      <c r="X11" s="7">
        <f>COUNTIF('Correspondencia AEEH 2026'!$C$3:$C$1048576,Clasificaciones!W11)</f>
        <v>0</v>
      </c>
      <c r="Z11" s="7" t="s">
        <v>114</v>
      </c>
      <c r="AA11" s="33">
        <f>SUMIF('Correspondencia AEEH 2026'!C:C,Clasificaciones!Z11,'Correspondencia AEEH 2026'!AF:AF)</f>
        <v>0</v>
      </c>
    </row>
    <row r="12" spans="1:31" ht="43.5" customHeight="1" x14ac:dyDescent="0.3">
      <c r="A12" s="102" t="s">
        <v>1250</v>
      </c>
      <c r="B12" s="41">
        <f>COUNTIF('Correspondencia AEEH 2026'!$H$3:$H$1048576,Clasificaciones!A12)</f>
        <v>0</v>
      </c>
      <c r="C12" s="44"/>
      <c r="D12" s="44"/>
      <c r="E12" s="44"/>
      <c r="F12" s="44"/>
      <c r="G12" s="44"/>
      <c r="H12" s="44"/>
      <c r="I12" s="44"/>
      <c r="J12" s="44"/>
      <c r="K12" s="44"/>
      <c r="M12" s="38" t="s">
        <v>1046</v>
      </c>
      <c r="N12" s="23">
        <f>COUNTIF('Correspondencia AEEH 2026'!$X$3:$X$1048576,Clasificaciones!M12)</f>
        <v>2</v>
      </c>
      <c r="O12" s="9"/>
      <c r="P12" s="9"/>
      <c r="Q12" s="9"/>
      <c r="R12" s="9"/>
      <c r="S12" s="9"/>
      <c r="T12" s="6" t="s">
        <v>18</v>
      </c>
      <c r="U12" s="7">
        <f>COUNTIF('Correspondencia AEEH 2026'!$Y$3:$Y$1048576,Clasificaciones!T12)</f>
        <v>2</v>
      </c>
      <c r="W12" s="7" t="s">
        <v>115</v>
      </c>
      <c r="X12" s="7">
        <f>COUNTIF('Correspondencia AEEH 2026'!$C$3:$C$1048576,Clasificaciones!W12)</f>
        <v>0</v>
      </c>
      <c r="Z12" s="7" t="s">
        <v>115</v>
      </c>
      <c r="AA12" s="33">
        <f>SUMIF('Correspondencia AEEH 2026'!C:C,Clasificaciones!Z12,'Correspondencia AEEH 2026'!AF:AF)</f>
        <v>0</v>
      </c>
    </row>
    <row r="13" spans="1:31" ht="28.5" customHeight="1" x14ac:dyDescent="0.3">
      <c r="A13" s="40" t="s">
        <v>229</v>
      </c>
      <c r="B13" s="41">
        <f>COUNTIF('Correspondencia AEEH 2026'!$H$3:$H$1048576,Clasificaciones!A13)</f>
        <v>6</v>
      </c>
      <c r="C13" s="45"/>
      <c r="D13" s="45"/>
      <c r="E13" s="45"/>
      <c r="F13" s="45"/>
      <c r="G13" s="44"/>
      <c r="H13" s="44"/>
      <c r="I13" s="44"/>
      <c r="J13" s="44"/>
      <c r="K13" s="44"/>
      <c r="M13" s="71" t="s">
        <v>1048</v>
      </c>
      <c r="N13" s="23">
        <f>COUNTIF('Correspondencia AEEH 2026'!$X$3:$X$1048576,Clasificaciones!M13)</f>
        <v>33</v>
      </c>
      <c r="O13" s="9"/>
      <c r="P13" s="9"/>
      <c r="Q13" s="9"/>
      <c r="R13" s="9"/>
      <c r="S13" s="9"/>
      <c r="T13" s="6" t="s">
        <v>19</v>
      </c>
      <c r="U13" s="7">
        <f>COUNTIF('Correspondencia AEEH 2026'!$Y$3:$Y$1048576,Clasificaciones!T13)</f>
        <v>2</v>
      </c>
      <c r="W13" s="7" t="s">
        <v>116</v>
      </c>
      <c r="X13" s="7">
        <f>COUNTIF('Correspondencia AEEH 2026'!$C$3:$C$1048576,Clasificaciones!W13)</f>
        <v>0</v>
      </c>
      <c r="Z13" s="7" t="s">
        <v>116</v>
      </c>
      <c r="AA13" s="33">
        <f>SUMIF('Correspondencia AEEH 2026'!C:C,Clasificaciones!Z13,'Correspondencia AEEH 2026'!AF:AF)</f>
        <v>0</v>
      </c>
    </row>
    <row r="14" spans="1:31" ht="28.5" customHeight="1" x14ac:dyDescent="0.3">
      <c r="A14" s="102" t="s">
        <v>1374</v>
      </c>
      <c r="B14" s="41">
        <f>COUNTIF('Correspondencia AEEH 2026'!$H$3:$H$1048576,Clasificaciones!A14)</f>
        <v>1</v>
      </c>
      <c r="C14" s="45"/>
      <c r="D14" s="45"/>
      <c r="E14" s="45"/>
      <c r="F14" s="45"/>
      <c r="G14" s="44"/>
      <c r="H14" s="44"/>
      <c r="I14" s="44"/>
      <c r="J14" s="44"/>
      <c r="K14" s="44"/>
      <c r="M14" s="71" t="s">
        <v>1049</v>
      </c>
      <c r="N14" s="23">
        <f>COUNTIF('Correspondencia AEEH 2026'!$X$3:$X$1048576,Clasificaciones!M14)</f>
        <v>9</v>
      </c>
      <c r="O14" s="9"/>
      <c r="P14" s="9"/>
      <c r="Q14" s="9"/>
      <c r="R14" s="9"/>
      <c r="S14" s="9"/>
      <c r="T14" s="6" t="s">
        <v>20</v>
      </c>
      <c r="U14" s="7">
        <f>COUNTIF('Correspondencia AEEH 2026'!$Y$3:$Y$1048576,Clasificaciones!T14)</f>
        <v>1</v>
      </c>
      <c r="W14" s="7"/>
      <c r="X14" s="7"/>
      <c r="Z14" s="103"/>
      <c r="AA14" s="104"/>
    </row>
    <row r="15" spans="1:31" ht="28.5" customHeight="1" x14ac:dyDescent="0.3">
      <c r="A15" s="102" t="s">
        <v>1393</v>
      </c>
      <c r="B15" s="41">
        <f>COUNTIF('Correspondencia AEEH 2026'!$H$3:$H$1048576,Clasificaciones!A15)</f>
        <v>1</v>
      </c>
      <c r="C15" s="45"/>
      <c r="D15" s="45"/>
      <c r="E15" s="45"/>
      <c r="F15" s="45"/>
      <c r="G15" s="44"/>
      <c r="H15" s="44"/>
      <c r="I15" s="44"/>
      <c r="J15" s="44"/>
      <c r="K15" s="44"/>
      <c r="M15" s="71" t="s">
        <v>1740</v>
      </c>
      <c r="N15" s="23">
        <f>COUNTIF('Correspondencia AEEH 2026'!$X$3:$X$1048576,Clasificaciones!M15)</f>
        <v>1</v>
      </c>
      <c r="O15" s="9"/>
      <c r="P15" s="9"/>
      <c r="Q15" s="9"/>
      <c r="R15" s="9"/>
      <c r="S15" s="9"/>
      <c r="T15" s="6" t="s">
        <v>21</v>
      </c>
      <c r="U15" s="7">
        <f>COUNTIF('Correspondencia AEEH 2026'!$Y$3:$Y$1048576,Clasificaciones!T15)</f>
        <v>5</v>
      </c>
      <c r="W15" s="7"/>
      <c r="X15" s="7"/>
      <c r="Z15" s="103"/>
      <c r="AA15" s="104"/>
    </row>
    <row r="16" spans="1:31" ht="28.5" customHeight="1" x14ac:dyDescent="0.3">
      <c r="A16" s="102" t="s">
        <v>1425</v>
      </c>
      <c r="B16" s="41">
        <f>COUNTIF('Correspondencia AEEH 2026'!$H$3:$H$1048576,Clasificaciones!A16)</f>
        <v>2</v>
      </c>
      <c r="C16" s="45"/>
      <c r="D16" s="45"/>
      <c r="E16" s="45"/>
      <c r="F16" s="45"/>
      <c r="G16" s="44"/>
      <c r="H16" s="44"/>
      <c r="I16" s="44"/>
      <c r="J16" s="44"/>
      <c r="K16" s="44"/>
      <c r="M16" s="37" t="s">
        <v>128</v>
      </c>
      <c r="N16" s="42">
        <f>SUM(N2:N14)</f>
        <v>296</v>
      </c>
      <c r="O16" s="9"/>
      <c r="P16" s="9"/>
      <c r="Q16" s="9"/>
      <c r="R16" s="9"/>
      <c r="S16" s="9"/>
      <c r="T16" s="6" t="s">
        <v>22</v>
      </c>
      <c r="U16" s="7">
        <f>COUNTIF('Correspondencia AEEH 2026'!$Y$3:$Y$1048576,Clasificaciones!T16)</f>
        <v>1</v>
      </c>
      <c r="W16" s="7"/>
      <c r="X16" s="7"/>
      <c r="Z16" s="103"/>
      <c r="AA16" s="104"/>
    </row>
    <row r="17" spans="1:27" ht="28.5" customHeight="1" x14ac:dyDescent="0.3">
      <c r="A17" s="102" t="s">
        <v>1769</v>
      </c>
      <c r="B17" s="41">
        <f>COUNTIF('Correspondencia AEEH 2026'!$H$3:$H$1048576,Clasificaciones!A17)</f>
        <v>2</v>
      </c>
      <c r="C17" s="45"/>
      <c r="D17" s="45"/>
      <c r="E17" s="45"/>
      <c r="F17" s="45"/>
      <c r="G17" s="44"/>
      <c r="H17" s="44"/>
      <c r="I17" s="44"/>
      <c r="J17" s="44"/>
      <c r="K17" s="44"/>
      <c r="M17" s="125"/>
      <c r="N17" s="126"/>
      <c r="O17" s="9"/>
      <c r="P17" s="9"/>
      <c r="Q17" s="9"/>
      <c r="R17" s="9"/>
      <c r="S17" s="9"/>
      <c r="T17" s="6"/>
      <c r="U17" s="7"/>
      <c r="W17" s="7"/>
      <c r="X17" s="7"/>
      <c r="Z17" s="103"/>
      <c r="AA17" s="104"/>
    </row>
    <row r="18" spans="1:27" ht="28.5" customHeight="1" x14ac:dyDescent="0.3">
      <c r="A18" s="102" t="s">
        <v>1851</v>
      </c>
      <c r="B18" s="41">
        <f>COUNTIF('Correspondencia AEEH 2026'!$H$3:$H$1048576,Clasificaciones!A18)</f>
        <v>1</v>
      </c>
      <c r="C18" s="45"/>
      <c r="D18" s="45"/>
      <c r="E18" s="45"/>
      <c r="F18" s="45"/>
      <c r="G18" s="44"/>
      <c r="H18" s="44"/>
      <c r="I18" s="44"/>
      <c r="J18" s="44"/>
      <c r="K18" s="44"/>
      <c r="M18" s="125"/>
      <c r="N18" s="126"/>
      <c r="O18" s="9"/>
      <c r="P18" s="9"/>
      <c r="Q18" s="9"/>
      <c r="R18" s="9"/>
      <c r="S18" s="9"/>
      <c r="T18" s="6"/>
      <c r="U18" s="7"/>
      <c r="W18" s="7"/>
      <c r="X18" s="7"/>
      <c r="Z18" s="103"/>
      <c r="AA18" s="104"/>
    </row>
    <row r="19" spans="1:27" ht="21" customHeight="1" x14ac:dyDescent="0.3">
      <c r="A19" s="37" t="s">
        <v>128</v>
      </c>
      <c r="B19" s="37">
        <f>SUM(B2:B16)</f>
        <v>294</v>
      </c>
      <c r="G19" s="44"/>
      <c r="H19" s="44"/>
      <c r="I19" s="44"/>
      <c r="J19" s="44"/>
      <c r="K19" s="44"/>
      <c r="M19" s="1" t="s">
        <v>7</v>
      </c>
      <c r="N19" t="s">
        <v>7</v>
      </c>
      <c r="O19" s="9"/>
      <c r="P19" s="9"/>
      <c r="Q19" s="9"/>
      <c r="R19" s="9"/>
      <c r="S19" s="9"/>
      <c r="T19" s="6" t="s">
        <v>23</v>
      </c>
      <c r="U19" s="7">
        <f>COUNTIF('Correspondencia AEEH 2026'!$Y$3:$Y$1048576,Clasificaciones!T19)</f>
        <v>10</v>
      </c>
      <c r="W19" s="7" t="s">
        <v>128</v>
      </c>
      <c r="X19" s="7">
        <f>SUM(X2:X13)</f>
        <v>297</v>
      </c>
      <c r="Z19" s="32" t="s">
        <v>124</v>
      </c>
      <c r="AA19" s="11">
        <f>SUM(AA2:AA13)</f>
        <v>13230</v>
      </c>
    </row>
    <row r="20" spans="1:27" ht="21" customHeight="1" x14ac:dyDescent="0.2">
      <c r="G20" s="44"/>
      <c r="H20" s="44"/>
      <c r="I20" s="44"/>
      <c r="J20" s="44"/>
      <c r="K20" s="44"/>
      <c r="M20" s="1" t="s">
        <v>7</v>
      </c>
      <c r="N20" t="s">
        <v>7</v>
      </c>
      <c r="O20" s="60"/>
      <c r="P20" s="60"/>
      <c r="Q20" s="60"/>
      <c r="R20" s="60"/>
      <c r="S20" s="60"/>
      <c r="T20" s="6" t="s">
        <v>24</v>
      </c>
      <c r="U20" s="7">
        <f>COUNTIF('Correspondencia AEEH 2026'!$Y$3:$Y$1048576,Clasificaciones!T20)</f>
        <v>4</v>
      </c>
    </row>
    <row r="21" spans="1:27" ht="30" customHeight="1" x14ac:dyDescent="0.3">
      <c r="G21" s="44"/>
      <c r="H21" s="44"/>
      <c r="I21" s="44"/>
      <c r="J21" s="45"/>
      <c r="K21" s="45"/>
      <c r="M21" s="1" t="s">
        <v>7</v>
      </c>
      <c r="N21" s="1" t="s">
        <v>7</v>
      </c>
      <c r="T21" s="6" t="s">
        <v>25</v>
      </c>
      <c r="U21" s="7">
        <f>COUNTIF('Correspondencia AEEH 2026'!$Y$3:$Y$1048576,Clasificaciones!T21)</f>
        <v>3</v>
      </c>
    </row>
    <row r="22" spans="1:27" ht="28.5" customHeight="1" x14ac:dyDescent="0.3">
      <c r="G22" s="45"/>
      <c r="H22" s="45"/>
      <c r="I22" s="45"/>
      <c r="M22" s="1" t="s">
        <v>7</v>
      </c>
      <c r="N22" s="1" t="s">
        <v>7</v>
      </c>
      <c r="T22" s="6" t="s">
        <v>26</v>
      </c>
      <c r="U22" s="7">
        <f>COUNTIF('Correspondencia AEEH 2026'!$Y$3:$Y$1048576,Clasificaciones!T22)</f>
        <v>3</v>
      </c>
    </row>
    <row r="23" spans="1:27" ht="21" customHeight="1" x14ac:dyDescent="0.2">
      <c r="M23" s="1" t="s">
        <v>7</v>
      </c>
      <c r="N23" s="1" t="s">
        <v>7</v>
      </c>
      <c r="O23" s="1"/>
      <c r="P23" s="1"/>
      <c r="Q23" s="1"/>
      <c r="R23" s="1"/>
      <c r="S23" s="1"/>
      <c r="T23" s="6" t="s">
        <v>27</v>
      </c>
      <c r="U23" s="7">
        <f>COUNTIF('Correspondencia AEEH 2026'!$Y$3:$Y$1048576,Clasificaciones!T23)</f>
        <v>1</v>
      </c>
      <c r="W23" s="26" t="s">
        <v>152</v>
      </c>
      <c r="X23" t="s">
        <v>154</v>
      </c>
    </row>
    <row r="24" spans="1:27" ht="15" x14ac:dyDescent="0.2">
      <c r="M24" s="1" t="s">
        <v>7</v>
      </c>
      <c r="N24" s="1" t="s">
        <v>7</v>
      </c>
      <c r="O24" s="1"/>
      <c r="P24" s="1"/>
      <c r="Q24" s="1"/>
      <c r="R24" s="1"/>
      <c r="S24" s="1"/>
      <c r="T24" s="6" t="s">
        <v>28</v>
      </c>
      <c r="U24" s="7">
        <f>COUNTIF('Correspondencia AEEH 2026'!$Y$3:$Y$1048576,Clasificaciones!T24)</f>
        <v>1</v>
      </c>
      <c r="W24" s="27" t="s">
        <v>2</v>
      </c>
      <c r="X24">
        <v>199</v>
      </c>
      <c r="Z24" s="25"/>
    </row>
    <row r="25" spans="1:27" x14ac:dyDescent="0.2">
      <c r="M25" s="1" t="s">
        <v>7</v>
      </c>
      <c r="N25" s="1" t="s">
        <v>7</v>
      </c>
      <c r="O25" s="1"/>
      <c r="P25" s="1"/>
      <c r="Q25" s="1"/>
      <c r="R25" s="1"/>
      <c r="S25" s="1"/>
      <c r="T25" s="6" t="s">
        <v>29</v>
      </c>
      <c r="U25" s="7">
        <f>COUNTIF('Correspondencia AEEH 2026'!$Y$3:$Y$1048576,Clasificaciones!T25)</f>
        <v>2</v>
      </c>
      <c r="W25" s="28" t="s">
        <v>92</v>
      </c>
      <c r="X25">
        <v>66</v>
      </c>
    </row>
    <row r="26" spans="1:27" x14ac:dyDescent="0.2">
      <c r="M26" s="1" t="s">
        <v>7</v>
      </c>
      <c r="N26" s="1" t="s">
        <v>7</v>
      </c>
      <c r="O26" s="1"/>
      <c r="P26" s="1"/>
      <c r="Q26" s="1"/>
      <c r="R26" s="1"/>
      <c r="S26" s="1"/>
      <c r="T26" s="6" t="s">
        <v>30</v>
      </c>
      <c r="U26" s="7">
        <f>COUNTIF('Correspondencia AEEH 2026'!$Y$3:$Y$1048576,Clasificaciones!T26)</f>
        <v>1</v>
      </c>
      <c r="W26" s="28" t="s">
        <v>100</v>
      </c>
      <c r="X26">
        <v>1</v>
      </c>
    </row>
    <row r="27" spans="1:27" x14ac:dyDescent="0.2">
      <c r="M27" s="1" t="s">
        <v>7</v>
      </c>
      <c r="N27" s="1" t="s">
        <v>7</v>
      </c>
      <c r="O27" s="1"/>
      <c r="P27" s="1"/>
      <c r="Q27" s="1"/>
      <c r="R27" s="1"/>
      <c r="S27" s="1"/>
      <c r="T27" s="6" t="s">
        <v>31</v>
      </c>
      <c r="U27" s="7">
        <f>COUNTIF('Correspondencia AEEH 2026'!$Y$3:$Y$1048576,Clasificaciones!T27)</f>
        <v>1</v>
      </c>
      <c r="W27" s="28" t="s">
        <v>101</v>
      </c>
      <c r="X27">
        <v>14</v>
      </c>
    </row>
    <row r="28" spans="1:27" x14ac:dyDescent="0.2">
      <c r="M28" s="1" t="s">
        <v>7</v>
      </c>
      <c r="N28" s="1" t="s">
        <v>7</v>
      </c>
      <c r="O28" s="1"/>
      <c r="P28" s="1"/>
      <c r="Q28" s="1"/>
      <c r="R28" s="1"/>
      <c r="S28" s="1"/>
      <c r="T28" s="6" t="s">
        <v>32</v>
      </c>
      <c r="U28" s="7">
        <f>COUNTIF('Correspondencia AEEH 2026'!$Y$3:$Y$1048576,Clasificaciones!T28)</f>
        <v>5</v>
      </c>
      <c r="W28" s="28" t="s">
        <v>102</v>
      </c>
      <c r="X28">
        <v>21</v>
      </c>
      <c r="AA28" s="24"/>
    </row>
    <row r="29" spans="1:27" x14ac:dyDescent="0.2">
      <c r="M29" s="1" t="s">
        <v>7</v>
      </c>
      <c r="N29" s="1" t="s">
        <v>7</v>
      </c>
      <c r="O29" s="1"/>
      <c r="P29" s="1"/>
      <c r="Q29" s="1"/>
      <c r="R29" s="1"/>
      <c r="S29" s="1"/>
      <c r="T29" s="6" t="s">
        <v>33</v>
      </c>
      <c r="U29" s="7">
        <f>COUNTIF('Correspondencia AEEH 2026'!$Y$3:$Y$1048576,Clasificaciones!T29)</f>
        <v>0</v>
      </c>
      <c r="W29" s="28" t="s">
        <v>103</v>
      </c>
      <c r="X29">
        <v>2</v>
      </c>
    </row>
    <row r="30" spans="1:27" x14ac:dyDescent="0.2">
      <c r="M30" s="1" t="s">
        <v>7</v>
      </c>
      <c r="N30" s="1" t="s">
        <v>7</v>
      </c>
      <c r="O30" s="1"/>
      <c r="P30" s="1"/>
      <c r="Q30" s="1"/>
      <c r="R30" s="1"/>
      <c r="S30" s="1"/>
      <c r="T30" s="6" t="s">
        <v>34</v>
      </c>
      <c r="U30" s="7">
        <f>COUNTIF('Correspondencia AEEH 2026'!$Y$3:$Y$1048576,Clasificaciones!T30)</f>
        <v>0</v>
      </c>
      <c r="W30" s="28" t="s">
        <v>104</v>
      </c>
      <c r="X30">
        <v>1</v>
      </c>
    </row>
    <row r="31" spans="1:27" x14ac:dyDescent="0.2">
      <c r="M31" s="1" t="s">
        <v>7</v>
      </c>
      <c r="N31" s="1" t="s">
        <v>7</v>
      </c>
      <c r="O31" s="1"/>
      <c r="P31" s="1"/>
      <c r="Q31" s="1"/>
      <c r="R31" s="1"/>
      <c r="S31" s="1"/>
      <c r="T31" s="6" t="s">
        <v>35</v>
      </c>
      <c r="U31" s="7">
        <f>COUNTIF('Correspondencia AEEH 2026'!$Y$3:$Y$1048576,Clasificaciones!T31)</f>
        <v>3</v>
      </c>
      <c r="W31" s="28" t="s">
        <v>93</v>
      </c>
      <c r="X31">
        <v>26</v>
      </c>
    </row>
    <row r="32" spans="1:27" x14ac:dyDescent="0.2">
      <c r="M32" s="1" t="s">
        <v>7</v>
      </c>
      <c r="N32" s="1" t="s">
        <v>7</v>
      </c>
      <c r="O32" s="1"/>
      <c r="P32" s="1"/>
      <c r="Q32" s="1"/>
      <c r="R32" s="1"/>
      <c r="S32" s="1"/>
      <c r="T32" s="6" t="s">
        <v>36</v>
      </c>
      <c r="U32" s="7">
        <f>COUNTIF('Correspondencia AEEH 2026'!$Y$3:$Y$1048576,Clasificaciones!T32)</f>
        <v>10</v>
      </c>
      <c r="W32" s="28" t="s">
        <v>94</v>
      </c>
      <c r="X32">
        <v>10</v>
      </c>
    </row>
    <row r="33" spans="13:24" x14ac:dyDescent="0.2">
      <c r="M33" s="1" t="s">
        <v>7</v>
      </c>
      <c r="N33" s="1" t="s">
        <v>7</v>
      </c>
      <c r="O33" s="1"/>
      <c r="P33" s="1"/>
      <c r="Q33" s="1"/>
      <c r="R33" s="1"/>
      <c r="S33" s="1"/>
      <c r="T33" s="6" t="s">
        <v>37</v>
      </c>
      <c r="U33" s="7">
        <f>COUNTIF('Correspondencia AEEH 2026'!$Y$3:$Y$1048576,Clasificaciones!T33)</f>
        <v>2</v>
      </c>
      <c r="W33" s="28" t="s">
        <v>95</v>
      </c>
      <c r="X33">
        <v>1</v>
      </c>
    </row>
    <row r="34" spans="13:24" x14ac:dyDescent="0.2">
      <c r="M34" s="1" t="s">
        <v>7</v>
      </c>
      <c r="N34" s="1" t="s">
        <v>7</v>
      </c>
      <c r="O34" s="1"/>
      <c r="P34" s="1"/>
      <c r="Q34" s="1"/>
      <c r="R34" s="1"/>
      <c r="S34" s="1"/>
      <c r="T34" s="6" t="s">
        <v>38</v>
      </c>
      <c r="U34" s="7">
        <f>COUNTIF('Correspondencia AEEH 2026'!$Y$3:$Y$1048576,Clasificaciones!T34)</f>
        <v>1</v>
      </c>
      <c r="W34" s="28" t="s">
        <v>96</v>
      </c>
      <c r="X34">
        <v>5</v>
      </c>
    </row>
    <row r="35" spans="13:24" x14ac:dyDescent="0.2">
      <c r="M35" s="1" t="s">
        <v>7</v>
      </c>
      <c r="N35" s="1" t="s">
        <v>7</v>
      </c>
      <c r="O35" s="1"/>
      <c r="P35" s="1"/>
      <c r="Q35" s="1"/>
      <c r="R35" s="1"/>
      <c r="S35" s="1"/>
      <c r="T35" s="6" t="s">
        <v>39</v>
      </c>
      <c r="U35" s="7">
        <f>COUNTIF('Correspondencia AEEH 2026'!$Y$3:$Y$1048576,Clasificaciones!T35)</f>
        <v>0</v>
      </c>
      <c r="W35" s="28" t="s">
        <v>97</v>
      </c>
      <c r="X35">
        <v>13</v>
      </c>
    </row>
    <row r="36" spans="13:24" x14ac:dyDescent="0.2">
      <c r="M36" s="1" t="s">
        <v>7</v>
      </c>
      <c r="N36" s="1" t="s">
        <v>7</v>
      </c>
      <c r="O36" s="1"/>
      <c r="P36" s="1"/>
      <c r="Q36" s="1"/>
      <c r="R36" s="1"/>
      <c r="S36" s="1"/>
      <c r="T36" s="6" t="s">
        <v>40</v>
      </c>
      <c r="U36" s="7">
        <f>COUNTIF('Correspondencia AEEH 2026'!$Y$3:$Y$1048576,Clasificaciones!T36)</f>
        <v>1</v>
      </c>
      <c r="W36" s="28" t="s">
        <v>98</v>
      </c>
      <c r="X36">
        <v>31</v>
      </c>
    </row>
    <row r="37" spans="13:24" x14ac:dyDescent="0.2">
      <c r="M37" s="1" t="s">
        <v>7</v>
      </c>
      <c r="N37" s="1" t="s">
        <v>7</v>
      </c>
      <c r="O37" s="1"/>
      <c r="P37" s="1"/>
      <c r="Q37" s="1"/>
      <c r="R37" s="1"/>
      <c r="S37" s="1"/>
      <c r="T37" s="6" t="s">
        <v>41</v>
      </c>
      <c r="U37" s="7">
        <f>COUNTIF('Correspondencia AEEH 2026'!$Y$3:$Y$1048576,Clasificaciones!T37)</f>
        <v>0</v>
      </c>
      <c r="W37" s="28" t="s">
        <v>99</v>
      </c>
      <c r="X37">
        <v>8</v>
      </c>
    </row>
    <row r="38" spans="13:24" x14ac:dyDescent="0.2">
      <c r="M38" s="1" t="s">
        <v>7</v>
      </c>
      <c r="N38" s="1" t="s">
        <v>7</v>
      </c>
      <c r="O38" s="1"/>
      <c r="P38" s="1"/>
      <c r="Q38" s="1"/>
      <c r="R38" s="1"/>
      <c r="S38" s="1"/>
      <c r="T38" s="6" t="s">
        <v>42</v>
      </c>
      <c r="U38" s="7">
        <f>COUNTIF('Correspondencia AEEH 2026'!$Y$3:$Y$1048576,Clasificaciones!T38)</f>
        <v>3</v>
      </c>
      <c r="W38" s="27" t="s">
        <v>153</v>
      </c>
      <c r="X38">
        <v>199</v>
      </c>
    </row>
    <row r="39" spans="13:24" x14ac:dyDescent="0.2">
      <c r="M39" s="1" t="s">
        <v>7</v>
      </c>
      <c r="N39" s="1" t="s">
        <v>7</v>
      </c>
      <c r="O39" s="1"/>
      <c r="P39" s="1"/>
      <c r="Q39" s="1"/>
      <c r="R39" s="1"/>
      <c r="S39" s="1"/>
      <c r="T39" s="6" t="s">
        <v>43</v>
      </c>
      <c r="U39" s="7">
        <f>COUNTIF('Correspondencia AEEH 2026'!$Y$3:$Y$1048576,Clasificaciones!T39)</f>
        <v>0</v>
      </c>
    </row>
    <row r="40" spans="13:24" x14ac:dyDescent="0.2">
      <c r="M40" s="1" t="s">
        <v>7</v>
      </c>
      <c r="N40" s="1" t="s">
        <v>7</v>
      </c>
      <c r="O40" s="1"/>
      <c r="P40" s="1"/>
      <c r="Q40" s="1"/>
      <c r="R40" s="1"/>
      <c r="S40" s="1"/>
      <c r="T40" s="6" t="s">
        <v>44</v>
      </c>
      <c r="U40" s="7">
        <f>COUNTIF('Correspondencia AEEH 2026'!$Y$3:$Y$1048576,Clasificaciones!T40)</f>
        <v>2</v>
      </c>
    </row>
    <row r="41" spans="13:24" x14ac:dyDescent="0.2">
      <c r="M41" s="1" t="s">
        <v>7</v>
      </c>
      <c r="N41" s="1" t="s">
        <v>7</v>
      </c>
      <c r="O41" s="1"/>
      <c r="P41" s="1"/>
      <c r="Q41" s="1"/>
      <c r="R41" s="1"/>
      <c r="S41" s="1"/>
      <c r="T41" s="6" t="s">
        <v>45</v>
      </c>
      <c r="U41" s="7">
        <f>COUNTIF('Correspondencia AEEH 2026'!$Y$3:$Y$1048576,Clasificaciones!T41)</f>
        <v>1</v>
      </c>
    </row>
    <row r="42" spans="13:24" x14ac:dyDescent="0.2">
      <c r="M42" s="1" t="s">
        <v>7</v>
      </c>
      <c r="N42" s="1" t="s">
        <v>7</v>
      </c>
      <c r="O42" s="1"/>
      <c r="P42" s="1"/>
      <c r="Q42" s="1"/>
      <c r="R42" s="1"/>
      <c r="S42" s="1"/>
      <c r="T42" s="6" t="s">
        <v>46</v>
      </c>
      <c r="U42" s="7">
        <f>COUNTIF('Correspondencia AEEH 2026'!$Y$3:$Y$1048576,Clasificaciones!T42)</f>
        <v>0</v>
      </c>
    </row>
    <row r="43" spans="13:24" x14ac:dyDescent="0.2">
      <c r="M43" s="1" t="s">
        <v>7</v>
      </c>
      <c r="N43" s="1" t="s">
        <v>7</v>
      </c>
      <c r="O43" s="1"/>
      <c r="P43" s="1"/>
      <c r="Q43" s="1"/>
      <c r="R43" s="1"/>
      <c r="S43" s="1"/>
      <c r="T43" s="124" t="s">
        <v>47</v>
      </c>
      <c r="U43" s="7">
        <f>COUNTIF('Correspondencia AEEH 2026'!$Y$3:$Y$1048576,Clasificaciones!T43)</f>
        <v>0</v>
      </c>
    </row>
    <row r="44" spans="13:24" x14ac:dyDescent="0.2">
      <c r="M44" s="1" t="s">
        <v>7</v>
      </c>
      <c r="N44" s="1" t="s">
        <v>7</v>
      </c>
      <c r="O44" s="1"/>
      <c r="P44" s="1"/>
      <c r="Q44" s="1"/>
      <c r="R44" s="1"/>
      <c r="S44" s="1"/>
      <c r="T44" s="124" t="s">
        <v>48</v>
      </c>
      <c r="U44" s="7">
        <f>COUNTIF('Correspondencia AEEH 2026'!$Y$3:$Y$1048576,Clasificaciones!T44)</f>
        <v>1</v>
      </c>
    </row>
    <row r="45" spans="13:24" x14ac:dyDescent="0.2">
      <c r="M45" s="1" t="s">
        <v>7</v>
      </c>
      <c r="N45" s="1" t="s">
        <v>7</v>
      </c>
      <c r="O45" s="1"/>
      <c r="P45" s="1"/>
      <c r="Q45" s="1"/>
      <c r="R45" s="1"/>
      <c r="S45" s="1"/>
      <c r="T45" s="6" t="s">
        <v>49</v>
      </c>
      <c r="U45" s="7">
        <f>COUNTIF('Correspondencia AEEH 2026'!$Y$3:$Y$1048576,Clasificaciones!T45)</f>
        <v>1</v>
      </c>
    </row>
    <row r="46" spans="13:24" x14ac:dyDescent="0.2">
      <c r="M46" s="1" t="s">
        <v>7</v>
      </c>
      <c r="N46" s="1" t="s">
        <v>7</v>
      </c>
      <c r="O46" s="1"/>
      <c r="P46" s="1"/>
      <c r="Q46" s="1"/>
      <c r="R46" s="1"/>
      <c r="S46" s="1"/>
      <c r="T46" s="6" t="s">
        <v>50</v>
      </c>
      <c r="U46" s="7">
        <f>COUNTIF('Correspondencia AEEH 2026'!$Y$3:$Y$1048576,Clasificaciones!T46)</f>
        <v>0</v>
      </c>
    </row>
    <row r="47" spans="13:24" x14ac:dyDescent="0.2">
      <c r="M47" s="1" t="s">
        <v>7</v>
      </c>
      <c r="N47" s="1" t="s">
        <v>7</v>
      </c>
      <c r="O47" s="1"/>
      <c r="P47" s="1"/>
      <c r="Q47" s="1"/>
      <c r="R47" s="1"/>
      <c r="S47" s="1"/>
      <c r="T47" s="6" t="s">
        <v>51</v>
      </c>
      <c r="U47" s="7">
        <f>COUNTIF('Correspondencia AEEH 2026'!$Y$3:$Y$1048576,Clasificaciones!T47)</f>
        <v>1</v>
      </c>
    </row>
    <row r="48" spans="13:24" x14ac:dyDescent="0.2">
      <c r="M48" s="1" t="s">
        <v>7</v>
      </c>
      <c r="N48" s="1" t="s">
        <v>7</v>
      </c>
      <c r="O48" s="1"/>
      <c r="P48" s="1"/>
      <c r="Q48" s="1"/>
      <c r="R48" s="1"/>
      <c r="S48" s="1"/>
      <c r="T48" s="6" t="s">
        <v>52</v>
      </c>
      <c r="U48" s="7">
        <f>COUNTIF('Correspondencia AEEH 2026'!$Y$3:$Y$1048576,Clasificaciones!T48)</f>
        <v>4</v>
      </c>
    </row>
    <row r="49" spans="13:21" x14ac:dyDescent="0.2">
      <c r="M49" s="1" t="s">
        <v>7</v>
      </c>
      <c r="N49" s="1" t="s">
        <v>7</v>
      </c>
      <c r="O49" s="1"/>
      <c r="P49" s="1"/>
      <c r="Q49" s="1"/>
      <c r="R49" s="1"/>
      <c r="S49" s="1"/>
      <c r="T49" s="6" t="s">
        <v>53</v>
      </c>
      <c r="U49" s="7">
        <f>COUNTIF('Correspondencia AEEH 2026'!$Y$3:$Y$1048576,Clasificaciones!T49)</f>
        <v>0</v>
      </c>
    </row>
    <row r="50" spans="13:21" x14ac:dyDescent="0.2">
      <c r="M50" s="1" t="s">
        <v>7</v>
      </c>
      <c r="N50" s="1" t="s">
        <v>7</v>
      </c>
      <c r="O50" s="1"/>
      <c r="P50" s="1"/>
      <c r="Q50" s="1"/>
      <c r="R50" s="1"/>
      <c r="S50" s="1"/>
      <c r="T50" s="6" t="s">
        <v>54</v>
      </c>
      <c r="U50" s="7">
        <f>COUNTIF('Correspondencia AEEH 2026'!$Y$3:$Y$1048576,Clasificaciones!T50)</f>
        <v>1</v>
      </c>
    </row>
    <row r="51" spans="13:21" x14ac:dyDescent="0.2">
      <c r="M51" s="1" t="s">
        <v>7</v>
      </c>
      <c r="N51" s="1" t="s">
        <v>7</v>
      </c>
      <c r="O51" s="1"/>
      <c r="P51" s="1"/>
      <c r="Q51" s="1"/>
      <c r="R51" s="1"/>
      <c r="S51" s="1"/>
      <c r="T51" s="6" t="s">
        <v>55</v>
      </c>
      <c r="U51" s="7">
        <f>COUNTIF('Correspondencia AEEH 2026'!$Y$3:$Y$1048576,Clasificaciones!T51)</f>
        <v>10</v>
      </c>
    </row>
    <row r="52" spans="13:21" x14ac:dyDescent="0.2">
      <c r="M52" s="1" t="s">
        <v>7</v>
      </c>
      <c r="N52" s="1" t="s">
        <v>7</v>
      </c>
      <c r="O52" s="1"/>
      <c r="P52" s="1"/>
      <c r="Q52" s="1"/>
      <c r="R52" s="1"/>
      <c r="S52" s="1"/>
      <c r="T52" s="6" t="s">
        <v>56</v>
      </c>
      <c r="U52" s="7">
        <f>COUNTIF('Correspondencia AEEH 2026'!$Y$3:$Y$1048576,Clasificaciones!T52)</f>
        <v>0</v>
      </c>
    </row>
    <row r="53" spans="13:21" x14ac:dyDescent="0.2">
      <c r="M53" s="1" t="s">
        <v>7</v>
      </c>
      <c r="N53" s="1" t="s">
        <v>7</v>
      </c>
      <c r="O53" s="1"/>
      <c r="P53" s="1"/>
      <c r="Q53" s="1"/>
      <c r="R53" s="1"/>
      <c r="S53" s="1"/>
      <c r="T53" s="6" t="s">
        <v>57</v>
      </c>
      <c r="U53" s="7">
        <f>COUNTIF('Correspondencia AEEH 2026'!$Y$3:$Y$1048576,Clasificaciones!T53)</f>
        <v>2</v>
      </c>
    </row>
    <row r="54" spans="13:21" x14ac:dyDescent="0.2">
      <c r="M54" s="1" t="s">
        <v>7</v>
      </c>
      <c r="N54" s="1" t="s">
        <v>7</v>
      </c>
      <c r="O54" s="1"/>
      <c r="P54" s="1"/>
      <c r="Q54" s="1"/>
      <c r="R54" s="1"/>
      <c r="S54" s="1"/>
      <c r="T54" s="6" t="s">
        <v>58</v>
      </c>
      <c r="U54" s="7">
        <f>COUNTIF('Correspondencia AEEH 2026'!$Y$3:$Y$1048576,Clasificaciones!T54)</f>
        <v>1</v>
      </c>
    </row>
    <row r="55" spans="13:21" x14ac:dyDescent="0.2">
      <c r="M55" s="1" t="s">
        <v>7</v>
      </c>
      <c r="N55" s="1" t="s">
        <v>7</v>
      </c>
      <c r="O55" s="1"/>
      <c r="P55" s="1"/>
      <c r="Q55" s="1"/>
      <c r="R55" s="1"/>
      <c r="S55" s="1"/>
      <c r="T55" s="6" t="s">
        <v>59</v>
      </c>
      <c r="U55" s="7">
        <f>COUNTIF('Correspondencia AEEH 2026'!$Y$3:$Y$1048576,Clasificaciones!T55)</f>
        <v>3</v>
      </c>
    </row>
    <row r="56" spans="13:21" x14ac:dyDescent="0.2">
      <c r="M56" s="1" t="s">
        <v>7</v>
      </c>
      <c r="N56" s="1" t="s">
        <v>7</v>
      </c>
      <c r="O56" s="1"/>
      <c r="P56" s="1"/>
      <c r="Q56" s="1"/>
      <c r="R56" s="1"/>
      <c r="S56" s="1"/>
      <c r="T56" s="6" t="s">
        <v>60</v>
      </c>
      <c r="U56" s="7">
        <f>COUNTIF('Correspondencia AEEH 2026'!$Y$3:$Y$1048576,Clasificaciones!T56)</f>
        <v>1</v>
      </c>
    </row>
    <row r="57" spans="13:21" x14ac:dyDescent="0.2">
      <c r="M57" s="1" t="s">
        <v>7</v>
      </c>
      <c r="N57" s="1" t="s">
        <v>7</v>
      </c>
      <c r="O57" s="1"/>
      <c r="P57" s="1"/>
      <c r="Q57" s="1"/>
      <c r="R57" s="1"/>
      <c r="S57" s="1"/>
      <c r="T57" s="6" t="s">
        <v>61</v>
      </c>
      <c r="U57" s="7">
        <f>COUNTIF('Correspondencia AEEH 2026'!$Y$3:$Y$1048576,Clasificaciones!T57)</f>
        <v>0</v>
      </c>
    </row>
    <row r="58" spans="13:21" x14ac:dyDescent="0.2">
      <c r="M58" s="1" t="s">
        <v>7</v>
      </c>
      <c r="N58" s="1" t="s">
        <v>7</v>
      </c>
      <c r="O58" s="1"/>
      <c r="P58" s="1"/>
      <c r="Q58" s="1"/>
      <c r="R58" s="1"/>
      <c r="S58" s="1"/>
      <c r="T58" s="6" t="s">
        <v>62</v>
      </c>
      <c r="U58" s="7">
        <f>COUNTIF('Correspondencia AEEH 2026'!$Y$3:$Y$1048576,Clasificaciones!T58)</f>
        <v>5</v>
      </c>
    </row>
    <row r="59" spans="13:21" x14ac:dyDescent="0.2">
      <c r="M59" s="1" t="s">
        <v>7</v>
      </c>
      <c r="N59" s="1" t="s">
        <v>7</v>
      </c>
      <c r="O59" s="1"/>
      <c r="P59" s="1"/>
      <c r="Q59" s="1"/>
      <c r="R59" s="1"/>
      <c r="S59" s="1"/>
      <c r="T59" s="6" t="s">
        <v>63</v>
      </c>
      <c r="U59" s="7">
        <f>COUNTIF('Correspondencia AEEH 2026'!$Y$3:$Y$1048576,Clasificaciones!T59)</f>
        <v>4</v>
      </c>
    </row>
    <row r="60" spans="13:21" x14ac:dyDescent="0.2">
      <c r="M60" s="1" t="s">
        <v>7</v>
      </c>
      <c r="N60" s="1" t="s">
        <v>7</v>
      </c>
      <c r="O60" s="1"/>
      <c r="P60" s="1"/>
      <c r="Q60" s="1"/>
      <c r="R60" s="1"/>
      <c r="S60" s="1"/>
      <c r="T60" s="6" t="s">
        <v>64</v>
      </c>
      <c r="U60" s="7">
        <f>COUNTIF('Correspondencia AEEH 2026'!$Y$3:$Y$1048576,Clasificaciones!T60)</f>
        <v>1</v>
      </c>
    </row>
    <row r="61" spans="13:21" x14ac:dyDescent="0.2">
      <c r="M61" s="1" t="s">
        <v>7</v>
      </c>
      <c r="N61" s="1" t="s">
        <v>7</v>
      </c>
      <c r="O61" s="1"/>
      <c r="P61" s="1"/>
      <c r="Q61" s="1"/>
      <c r="R61" s="1"/>
      <c r="S61" s="1"/>
      <c r="T61" s="6" t="s">
        <v>65</v>
      </c>
      <c r="U61" s="7">
        <f>COUNTIF('Correspondencia AEEH 2026'!$Y$3:$Y$1048576,Clasificaciones!T61)</f>
        <v>2</v>
      </c>
    </row>
    <row r="62" spans="13:21" x14ac:dyDescent="0.2">
      <c r="M62" s="1" t="s">
        <v>7</v>
      </c>
      <c r="N62" s="1" t="s">
        <v>7</v>
      </c>
      <c r="O62" s="1"/>
      <c r="P62" s="1"/>
      <c r="Q62" s="1"/>
      <c r="R62" s="1"/>
      <c r="S62" s="1"/>
      <c r="T62" s="6" t="s">
        <v>66</v>
      </c>
      <c r="U62" s="7">
        <f>COUNTIF('Correspondencia AEEH 2026'!$Y$3:$Y$1048576,Clasificaciones!T62)</f>
        <v>1</v>
      </c>
    </row>
    <row r="63" spans="13:21" x14ac:dyDescent="0.2">
      <c r="M63" s="1" t="s">
        <v>7</v>
      </c>
      <c r="N63" s="1" t="s">
        <v>7</v>
      </c>
      <c r="O63" s="1"/>
      <c r="P63" s="1"/>
      <c r="Q63" s="1"/>
      <c r="R63" s="1"/>
      <c r="S63" s="1"/>
      <c r="T63" s="6" t="s">
        <v>67</v>
      </c>
      <c r="U63" s="7">
        <f>COUNTIF('Correspondencia AEEH 2026'!$Y$3:$Y$1048576,Clasificaciones!T63)</f>
        <v>1</v>
      </c>
    </row>
    <row r="64" spans="13:21" x14ac:dyDescent="0.2">
      <c r="M64" s="1" t="s">
        <v>7</v>
      </c>
      <c r="N64" s="1" t="s">
        <v>7</v>
      </c>
      <c r="O64" s="1"/>
      <c r="P64" s="1"/>
      <c r="Q64" s="1"/>
      <c r="R64" s="1"/>
      <c r="S64" s="1"/>
      <c r="T64" s="6" t="s">
        <v>68</v>
      </c>
      <c r="U64" s="7">
        <f>COUNTIF('Correspondencia AEEH 2026'!$Y$3:$Y$1048576,Clasificaciones!T64)</f>
        <v>4</v>
      </c>
    </row>
    <row r="65" spans="13:21" x14ac:dyDescent="0.2">
      <c r="M65" s="1" t="s">
        <v>7</v>
      </c>
      <c r="N65" s="1" t="s">
        <v>7</v>
      </c>
      <c r="O65" s="1"/>
      <c r="P65" s="1"/>
      <c r="Q65" s="1"/>
      <c r="R65" s="1"/>
      <c r="S65" s="1"/>
      <c r="T65" s="6" t="s">
        <v>69</v>
      </c>
      <c r="U65" s="7">
        <f>COUNTIF('Correspondencia AEEH 2026'!$Y$3:$Y$1048576,Clasificaciones!T65)</f>
        <v>1</v>
      </c>
    </row>
    <row r="66" spans="13:21" x14ac:dyDescent="0.2">
      <c r="M66" s="1" t="s">
        <v>7</v>
      </c>
      <c r="N66" s="1" t="s">
        <v>7</v>
      </c>
      <c r="O66" s="1"/>
      <c r="P66" s="1"/>
      <c r="Q66" s="1"/>
      <c r="R66" s="1"/>
      <c r="S66" s="1"/>
      <c r="T66" s="6" t="s">
        <v>70</v>
      </c>
      <c r="U66" s="7">
        <f>COUNTIF('Correspondencia AEEH 2026'!$Y$3:$Y$1048576,Clasificaciones!T66)</f>
        <v>0</v>
      </c>
    </row>
    <row r="67" spans="13:21" x14ac:dyDescent="0.2">
      <c r="M67" s="1" t="s">
        <v>7</v>
      </c>
      <c r="N67" s="1" t="s">
        <v>7</v>
      </c>
      <c r="O67" s="1"/>
      <c r="P67" s="1"/>
      <c r="Q67" s="1"/>
      <c r="R67" s="1"/>
      <c r="S67" s="1"/>
      <c r="T67" s="6" t="s">
        <v>71</v>
      </c>
      <c r="U67" s="7">
        <f>COUNTIF('Correspondencia AEEH 2026'!$Y$3:$Y$1048576,Clasificaciones!T67)</f>
        <v>0</v>
      </c>
    </row>
    <row r="68" spans="13:21" x14ac:dyDescent="0.2">
      <c r="M68" s="1" t="s">
        <v>7</v>
      </c>
      <c r="N68" s="1" t="s">
        <v>7</v>
      </c>
      <c r="O68" s="1"/>
      <c r="P68" s="1"/>
      <c r="Q68" s="1"/>
      <c r="R68" s="1"/>
      <c r="S68" s="1"/>
      <c r="T68" s="6" t="s">
        <v>72</v>
      </c>
      <c r="U68" s="7">
        <f>COUNTIF('Correspondencia AEEH 2026'!$Y$3:$Y$1048576,Clasificaciones!T68)</f>
        <v>1</v>
      </c>
    </row>
    <row r="69" spans="13:21" x14ac:dyDescent="0.2">
      <c r="M69" s="1" t="s">
        <v>7</v>
      </c>
      <c r="N69" s="1" t="s">
        <v>7</v>
      </c>
      <c r="O69" s="1"/>
      <c r="P69" s="1"/>
      <c r="Q69" s="1"/>
      <c r="R69" s="1"/>
      <c r="S69" s="1"/>
      <c r="T69" s="6" t="s">
        <v>73</v>
      </c>
      <c r="U69" s="7">
        <f>COUNTIF('Correspondencia AEEH 2026'!$Y$3:$Y$1048576,Clasificaciones!T69)</f>
        <v>0</v>
      </c>
    </row>
    <row r="70" spans="13:21" x14ac:dyDescent="0.2">
      <c r="N70" s="1" t="s">
        <v>7</v>
      </c>
      <c r="O70" s="1"/>
      <c r="P70" s="1"/>
      <c r="Q70" s="1"/>
      <c r="R70" s="1"/>
      <c r="S70" s="1"/>
      <c r="T70" s="6" t="s">
        <v>74</v>
      </c>
      <c r="U70" s="7">
        <f>COUNTIF('Correspondencia AEEH 2026'!$Y$3:$Y$1048576,Clasificaciones!T70)</f>
        <v>8</v>
      </c>
    </row>
    <row r="71" spans="13:21" x14ac:dyDescent="0.2">
      <c r="N71" s="1" t="s">
        <v>7</v>
      </c>
      <c r="O71" s="1"/>
      <c r="P71" s="1"/>
      <c r="Q71" s="1"/>
      <c r="R71" s="1"/>
      <c r="S71" s="1"/>
      <c r="T71" s="6" t="s">
        <v>75</v>
      </c>
      <c r="U71" s="7">
        <f>COUNTIF('Correspondencia AEEH 2026'!$Y$3:$Y$1048576,Clasificaciones!T71)</f>
        <v>2</v>
      </c>
    </row>
    <row r="72" spans="13:21" x14ac:dyDescent="0.2">
      <c r="N72" s="1" t="s">
        <v>7</v>
      </c>
      <c r="O72" s="1"/>
      <c r="P72" s="1"/>
      <c r="Q72" s="1"/>
      <c r="R72" s="1"/>
      <c r="S72" s="1"/>
      <c r="T72" s="6" t="s">
        <v>76</v>
      </c>
      <c r="U72" s="7">
        <f>COUNTIF('Correspondencia AEEH 2026'!$Y$3:$Y$1048576,Clasificaciones!T72)</f>
        <v>0</v>
      </c>
    </row>
    <row r="73" spans="13:21" x14ac:dyDescent="0.2">
      <c r="N73" s="1" t="s">
        <v>7</v>
      </c>
      <c r="O73" s="1"/>
      <c r="P73" s="1"/>
      <c r="Q73" s="1"/>
      <c r="R73" s="1"/>
      <c r="S73" s="1"/>
      <c r="T73" s="6" t="s">
        <v>77</v>
      </c>
      <c r="U73" s="7">
        <f>COUNTIF('Correspondencia AEEH 2026'!$Y$3:$Y$1048576,Clasificaciones!T73)</f>
        <v>0</v>
      </c>
    </row>
    <row r="74" spans="13:21" x14ac:dyDescent="0.2">
      <c r="N74" s="1" t="s">
        <v>7</v>
      </c>
      <c r="O74" s="1"/>
      <c r="P74" s="1"/>
      <c r="Q74" s="1"/>
      <c r="R74" s="1"/>
      <c r="S74" s="1"/>
      <c r="T74" s="6" t="s">
        <v>78</v>
      </c>
      <c r="U74" s="7">
        <f>COUNTIF('Correspondencia AEEH 2026'!$Y$3:$Y$1048576,Clasificaciones!T74)</f>
        <v>3</v>
      </c>
    </row>
    <row r="75" spans="13:21" x14ac:dyDescent="0.2">
      <c r="N75" s="1" t="s">
        <v>7</v>
      </c>
      <c r="O75" s="1"/>
      <c r="P75" s="1"/>
      <c r="Q75" s="1"/>
      <c r="R75" s="1"/>
      <c r="S75" s="1"/>
      <c r="T75" s="6" t="s">
        <v>79</v>
      </c>
      <c r="U75" s="7">
        <f>COUNTIF('Correspondencia AEEH 2026'!$Y$3:$Y$1048576,Clasificaciones!T75)</f>
        <v>1</v>
      </c>
    </row>
    <row r="76" spans="13:21" x14ac:dyDescent="0.2">
      <c r="N76" s="1" t="s">
        <v>7</v>
      </c>
      <c r="O76" s="1"/>
      <c r="P76" s="1"/>
      <c r="Q76" s="1"/>
      <c r="R76" s="1"/>
      <c r="S76" s="1"/>
      <c r="T76" s="6" t="s">
        <v>80</v>
      </c>
      <c r="U76" s="7">
        <f>COUNTIF('Correspondencia AEEH 2026'!$Y$3:$Y$1048576,Clasificaciones!T76)</f>
        <v>2</v>
      </c>
    </row>
    <row r="77" spans="13:21" x14ac:dyDescent="0.2">
      <c r="N77" s="1" t="s">
        <v>7</v>
      </c>
      <c r="O77" s="1"/>
      <c r="P77" s="1"/>
      <c r="Q77" s="1"/>
      <c r="R77" s="1"/>
      <c r="S77" s="1"/>
      <c r="T77" s="6" t="s">
        <v>81</v>
      </c>
      <c r="U77" s="7">
        <f>COUNTIF('Correspondencia AEEH 2026'!$Y$3:$Y$1048576,Clasificaciones!T77)</f>
        <v>2</v>
      </c>
    </row>
    <row r="78" spans="13:21" x14ac:dyDescent="0.2">
      <c r="N78" s="1" t="s">
        <v>7</v>
      </c>
      <c r="O78" s="1"/>
      <c r="P78" s="1"/>
      <c r="Q78" s="1"/>
      <c r="R78" s="1"/>
      <c r="S78" s="1"/>
      <c r="T78" s="6" t="s">
        <v>82</v>
      </c>
      <c r="U78" s="7">
        <f>COUNTIF('Correspondencia AEEH 2026'!$Y$3:$Y$1048576,Clasificaciones!T78)</f>
        <v>0</v>
      </c>
    </row>
    <row r="79" spans="13:21" x14ac:dyDescent="0.2">
      <c r="N79" s="1" t="s">
        <v>7</v>
      </c>
      <c r="O79" s="1"/>
      <c r="P79" s="1"/>
      <c r="Q79" s="1"/>
      <c r="R79" s="1"/>
      <c r="S79" s="1"/>
      <c r="T79" s="6" t="s">
        <v>83</v>
      </c>
      <c r="U79" s="7">
        <f>COUNTIF('Correspondencia AEEH 2026'!$Y$3:$Y$1048576,Clasificaciones!T79)</f>
        <v>0</v>
      </c>
    </row>
    <row r="80" spans="13:21" x14ac:dyDescent="0.2">
      <c r="N80" s="1" t="s">
        <v>7</v>
      </c>
      <c r="O80" s="1"/>
      <c r="P80" s="1"/>
      <c r="Q80" s="1"/>
      <c r="R80" s="1"/>
      <c r="S80" s="1"/>
      <c r="T80" s="6" t="s">
        <v>84</v>
      </c>
      <c r="U80" s="7">
        <f>COUNTIF('Correspondencia AEEH 2026'!$Y$3:$Y$1048576,Clasificaciones!T80)</f>
        <v>6</v>
      </c>
    </row>
    <row r="81" spans="14:21" x14ac:dyDescent="0.2">
      <c r="N81" s="1" t="s">
        <v>7</v>
      </c>
      <c r="O81" s="1"/>
      <c r="P81" s="1"/>
      <c r="Q81" s="1"/>
      <c r="R81" s="1"/>
      <c r="S81" s="1"/>
      <c r="T81" s="6" t="s">
        <v>85</v>
      </c>
      <c r="U81" s="7">
        <f>COUNTIF('Correspondencia AEEH 2026'!$Y$3:$Y$1048576,Clasificaciones!T81)</f>
        <v>1</v>
      </c>
    </row>
    <row r="82" spans="14:21" x14ac:dyDescent="0.2">
      <c r="N82" s="1" t="s">
        <v>7</v>
      </c>
      <c r="O82" s="1"/>
      <c r="P82" s="1"/>
      <c r="Q82" s="1"/>
      <c r="R82" s="1"/>
      <c r="S82" s="1"/>
      <c r="T82" s="6" t="s">
        <v>86</v>
      </c>
      <c r="U82" s="7">
        <f>COUNTIF('Correspondencia AEEH 2026'!$Y$3:$Y$1048576,Clasificaciones!T82)</f>
        <v>1</v>
      </c>
    </row>
    <row r="83" spans="14:21" x14ac:dyDescent="0.2">
      <c r="O83" s="1"/>
      <c r="P83" s="1"/>
      <c r="Q83" s="1"/>
      <c r="R83" s="1"/>
      <c r="S83" s="1"/>
      <c r="T83" s="6" t="s">
        <v>87</v>
      </c>
      <c r="U83" s="7">
        <f>COUNTIF('Correspondencia AEEH 2026'!$Y$3:$Y$1048576,Clasificaciones!T83)</f>
        <v>0</v>
      </c>
    </row>
    <row r="84" spans="14:21" x14ac:dyDescent="0.2">
      <c r="O84" s="1"/>
      <c r="P84" s="1"/>
      <c r="Q84" s="1"/>
      <c r="R84" s="1"/>
      <c r="S84" s="1"/>
      <c r="T84" s="6" t="s">
        <v>88</v>
      </c>
      <c r="U84" s="7">
        <f>COUNTIF('Correspondencia AEEH 2026'!$Y$3:$Y$1048576,Clasificaciones!T84)</f>
        <v>3</v>
      </c>
    </row>
    <row r="85" spans="14:21" x14ac:dyDescent="0.2">
      <c r="T85" s="6" t="s">
        <v>89</v>
      </c>
      <c r="U85" s="7">
        <f>COUNTIF('Correspondencia AEEH 2026'!$Y$3:$Y$1048576,Clasificaciones!T85)</f>
        <v>1</v>
      </c>
    </row>
    <row r="86" spans="14:21" x14ac:dyDescent="0.2">
      <c r="T86" s="6" t="s">
        <v>90</v>
      </c>
      <c r="U86" s="7">
        <f>COUNTIF('Correspondencia AEEH 2026'!$Y$3:$Y$1048576,Clasificaciones!T86)</f>
        <v>8</v>
      </c>
    </row>
    <row r="87" spans="14:21" x14ac:dyDescent="0.2">
      <c r="T87" s="6" t="s">
        <v>91</v>
      </c>
      <c r="U87" s="7">
        <f>COUNTIF('Correspondencia AEEH 2026'!$Y$3:$Y$1048576,Clasificaciones!T87)</f>
        <v>0</v>
      </c>
    </row>
    <row r="88" spans="14:21" x14ac:dyDescent="0.2">
      <c r="T88" s="8" t="s">
        <v>128</v>
      </c>
      <c r="U88" s="7">
        <f>SUM(U2:U87)</f>
        <v>169</v>
      </c>
    </row>
  </sheetData>
  <sheetProtection selectLockedCells="1" selectUnlockedCells="1"/>
  <autoFilter ref="T1:U88"/>
  <sortState ref="G2:G8">
    <sortCondition ref="G2:G8"/>
  </sortState>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M71"/>
  <sheetViews>
    <sheetView view="pageBreakPreview" topLeftCell="Z10" zoomScale="80" zoomScaleNormal="80" zoomScaleSheetLayoutView="80" workbookViewId="0">
      <selection activeCell="AB30" sqref="AB30:AD43"/>
    </sheetView>
  </sheetViews>
  <sheetFormatPr baseColWidth="10" defaultRowHeight="12.75" x14ac:dyDescent="0.2"/>
  <cols>
    <col min="1" max="1" width="31.42578125" customWidth="1"/>
    <col min="2" max="2" width="10.85546875" customWidth="1"/>
    <col min="3" max="3" width="15.42578125" customWidth="1"/>
    <col min="4" max="4" width="15.28515625" customWidth="1"/>
    <col min="5" max="8" width="15.7109375" customWidth="1"/>
    <col min="9" max="9" width="18.28515625" customWidth="1"/>
    <col min="10" max="10" width="4.7109375" customWidth="1"/>
    <col min="11" max="11" width="5.140625" customWidth="1"/>
    <col min="14" max="14" width="33.28515625" customWidth="1"/>
    <col min="15" max="15" width="17.7109375" customWidth="1"/>
    <col min="18" max="18" width="130.140625" customWidth="1"/>
    <col min="19" max="19" width="24.140625" customWidth="1"/>
    <col min="20" max="20" width="16.7109375" customWidth="1"/>
    <col min="21" max="21" width="9.5703125" customWidth="1"/>
    <col min="22" max="22" width="134.5703125" customWidth="1"/>
    <col min="23" max="23" width="25" customWidth="1"/>
    <col min="24" max="24" width="32.5703125" customWidth="1"/>
    <col min="25" max="25" width="37.5703125" customWidth="1"/>
    <col min="26" max="26" width="31.85546875" customWidth="1"/>
    <col min="27" max="27" width="8" customWidth="1"/>
    <col min="28" max="28" width="30.85546875" customWidth="1"/>
    <col min="29" max="29" width="25.28515625" customWidth="1"/>
    <col min="30" max="30" width="23.7109375" bestFit="1" customWidth="1"/>
    <col min="31" max="31" width="12.140625" customWidth="1"/>
    <col min="32" max="32" width="14.140625" customWidth="1"/>
    <col min="33" max="33" width="35.85546875" customWidth="1"/>
    <col min="34" max="34" width="34.140625" customWidth="1"/>
    <col min="35" max="35" width="41.42578125" customWidth="1"/>
    <col min="36" max="36" width="39.5703125" customWidth="1"/>
    <col min="37" max="43" width="4.42578125" customWidth="1"/>
    <col min="44" max="44" width="5.5703125" customWidth="1"/>
    <col min="45" max="45" width="12.140625" customWidth="1"/>
    <col min="46" max="46" width="16.5703125" customWidth="1"/>
    <col min="47" max="47" width="15.28515625" customWidth="1"/>
    <col min="48" max="50" width="2.28515625" customWidth="1"/>
    <col min="51" max="60" width="3.42578125" customWidth="1"/>
    <col min="61" max="72" width="4.42578125" customWidth="1"/>
    <col min="73" max="75" width="5.5703125" bestFit="1" customWidth="1"/>
    <col min="76" max="76" width="12.140625" bestFit="1" customWidth="1"/>
    <col min="77" max="77" width="18.85546875" bestFit="1" customWidth="1"/>
    <col min="78" max="78" width="14" bestFit="1" customWidth="1"/>
    <col min="79" max="79" width="12.140625" bestFit="1" customWidth="1"/>
    <col min="80" max="80" width="17.7109375" bestFit="1" customWidth="1"/>
    <col min="81" max="81" width="14.140625" bestFit="1" customWidth="1"/>
    <col min="82" max="84" width="5.42578125" bestFit="1" customWidth="1"/>
    <col min="85" max="85" width="5" bestFit="1" customWidth="1"/>
    <col min="86" max="96" width="5.42578125" bestFit="1" customWidth="1"/>
    <col min="97" max="97" width="5" bestFit="1" customWidth="1"/>
    <col min="98" max="101" width="5.42578125" bestFit="1" customWidth="1"/>
    <col min="102" max="102" width="15.42578125" bestFit="1" customWidth="1"/>
  </cols>
  <sheetData>
    <row r="2" spans="1:30" ht="42.75" customHeight="1" x14ac:dyDescent="0.2">
      <c r="A2" s="26" t="s">
        <v>146</v>
      </c>
      <c r="B2" t="s">
        <v>1052</v>
      </c>
      <c r="D2" s="156" t="s">
        <v>681</v>
      </c>
      <c r="E2" s="156" t="s">
        <v>682</v>
      </c>
      <c r="F2" s="156"/>
      <c r="G2" s="156" t="s">
        <v>1037</v>
      </c>
      <c r="H2" s="156"/>
      <c r="I2" s="156" t="s">
        <v>1038</v>
      </c>
      <c r="J2" s="91"/>
      <c r="L2" s="153" t="s">
        <v>670</v>
      </c>
      <c r="M2" s="154"/>
      <c r="N2" s="155"/>
      <c r="O2" s="55" t="s">
        <v>120</v>
      </c>
    </row>
    <row r="3" spans="1:30" ht="31.5" customHeight="1" x14ac:dyDescent="0.3">
      <c r="D3" s="156"/>
      <c r="E3" s="75" t="s">
        <v>671</v>
      </c>
      <c r="F3" s="75" t="s">
        <v>672</v>
      </c>
      <c r="G3" s="75" t="s">
        <v>671</v>
      </c>
      <c r="H3" s="75" t="s">
        <v>673</v>
      </c>
      <c r="I3" s="156"/>
      <c r="J3" s="91"/>
      <c r="L3" s="152" t="s">
        <v>165</v>
      </c>
      <c r="M3" s="146"/>
      <c r="N3" s="147"/>
      <c r="O3" s="59">
        <f>Clasificaciones!N2</f>
        <v>8</v>
      </c>
      <c r="V3" s="156" t="s">
        <v>122</v>
      </c>
      <c r="W3" s="21" t="s">
        <v>129</v>
      </c>
      <c r="X3" s="21" t="s">
        <v>121</v>
      </c>
      <c r="Y3" s="21" t="s">
        <v>151</v>
      </c>
      <c r="AB3" s="10" t="s">
        <v>123</v>
      </c>
      <c r="AC3" s="10" t="s">
        <v>676</v>
      </c>
      <c r="AD3" s="10" t="s">
        <v>677</v>
      </c>
    </row>
    <row r="4" spans="1:30" ht="15" x14ac:dyDescent="0.3">
      <c r="A4" s="26" t="s">
        <v>152</v>
      </c>
      <c r="C4" s="85"/>
      <c r="D4" s="73" t="e">
        <f>GETPIVOTDATA("No. DE TURNO",$A$2)</f>
        <v>#REF!</v>
      </c>
      <c r="E4" s="29" t="e">
        <f>GETPIVOTDATA("No. DE TURNO",$A$2,"¿SOLICITUD ATENDIDA?","SI","ÁREA GENERADORA ","ATENCIÓN AL PUEBLO")</f>
        <v>#REF!</v>
      </c>
      <c r="F4" s="31" t="e">
        <f>GETPIVOTDATA("No. DE TURNO",$A$2,"¿SOLICITUD ATENDIDA?","EN PROCESO","ÁREA GENERADORA ","ATENCIÓN AL PUEBLO")</f>
        <v>#REF!</v>
      </c>
      <c r="G4" s="31" t="e">
        <f>GETPIVOTDATA("No. DE TURNO",$A$2,"¿SOLICITUD ATENDIDA?","SI","ÁREA GENERADORA ","OTRAS INSTANCIAS")</f>
        <v>#REF!</v>
      </c>
      <c r="H4" s="31">
        <v>0</v>
      </c>
      <c r="I4" s="30" t="e">
        <f>GETPIVOTDATA("No. DE TURNO",$A$2,"ÁREA GENERADORA ","SEGUIMIENTO A SOLICITUDES")</f>
        <v>#REF!</v>
      </c>
      <c r="J4" s="90"/>
      <c r="L4" s="152" t="s">
        <v>166</v>
      </c>
      <c r="M4" s="146"/>
      <c r="N4" s="147"/>
      <c r="O4" s="59">
        <f>Clasificaciones!N3</f>
        <v>47</v>
      </c>
      <c r="V4" s="156"/>
      <c r="W4" s="22">
        <f>Clasificaciones!P2</f>
        <v>84</v>
      </c>
      <c r="X4" s="31">
        <f>Clasificaciones!Q2</f>
        <v>62</v>
      </c>
      <c r="Y4" s="22">
        <f>Clasificaciones!R2</f>
        <v>22</v>
      </c>
      <c r="AB4" s="23" t="s">
        <v>105</v>
      </c>
      <c r="AC4" s="34">
        <f>GETPIVOTDATA("PERSONAS ATENDIDAS",$AB$19,"MES","ENERO","GÉNERO ","FEMENINO ")</f>
        <v>3</v>
      </c>
      <c r="AD4" s="34">
        <f>GETPIVOTDATA("PERSONAS ATENDIDAS",$AB$19,"MES","ENERO","GÉNERO ","MASCULINO ")</f>
        <v>3</v>
      </c>
    </row>
    <row r="5" spans="1:30" ht="15" x14ac:dyDescent="0.3">
      <c r="A5" s="27" t="s">
        <v>599</v>
      </c>
      <c r="C5" s="85"/>
      <c r="L5" s="152" t="s">
        <v>1039</v>
      </c>
      <c r="M5" s="146"/>
      <c r="N5" s="147"/>
      <c r="O5" s="59">
        <f>Clasificaciones!N4</f>
        <v>58</v>
      </c>
      <c r="AB5" s="23" t="s">
        <v>106</v>
      </c>
      <c r="AC5" s="34">
        <f>GETPIVOTDATA("PERSONAS ATENDIDAS",$AB$19,"MES","FEBRERO","GÉNERO ","FEMENINO ")</f>
        <v>9</v>
      </c>
      <c r="AD5" s="34">
        <f>GETPIVOTDATA("PERSONAS ATENDIDAS",$AB$19,"MES","FEBRERO","GÉNERO ","MASCULINO ")</f>
        <v>23</v>
      </c>
    </row>
    <row r="6" spans="1:30" ht="12.75" customHeight="1" x14ac:dyDescent="0.3">
      <c r="A6" s="28" t="s">
        <v>2</v>
      </c>
      <c r="C6" s="85"/>
      <c r="L6" s="152" t="s">
        <v>1040</v>
      </c>
      <c r="M6" s="146"/>
      <c r="N6" s="147"/>
      <c r="O6" s="59">
        <f>Clasificaciones!N5</f>
        <v>9</v>
      </c>
      <c r="AB6" s="23" t="s">
        <v>107</v>
      </c>
      <c r="AC6" s="34">
        <f>GETPIVOTDATA("PERSONAS ATENDIDAS",$AB$19,"MES","MARZO","GÉNERO ","FEMENINO ")</f>
        <v>13</v>
      </c>
      <c r="AD6" s="34">
        <f>GETPIVOTDATA("PERSONAS ATENDIDAS",$AB$19,"MES","MARZO","GÉNERO ","MASCULINO ")</f>
        <v>22</v>
      </c>
    </row>
    <row r="7" spans="1:30" ht="15" x14ac:dyDescent="0.3">
      <c r="A7" s="27" t="s">
        <v>598</v>
      </c>
      <c r="C7" s="85"/>
      <c r="L7" s="152" t="s">
        <v>1041</v>
      </c>
      <c r="M7" s="146"/>
      <c r="N7" s="147"/>
      <c r="O7" s="59">
        <f>Clasificaciones!N6</f>
        <v>0</v>
      </c>
      <c r="AB7" s="20" t="s">
        <v>108</v>
      </c>
      <c r="AC7" s="34">
        <f>GETPIVOTDATA("PERSONAS ATENDIDAS",$AB$19,"MES","ABRIL","GÉNERO ","FEMENINO ")</f>
        <v>9</v>
      </c>
      <c r="AD7" s="34">
        <f>GETPIVOTDATA("PERSONAS ATENDIDAS",$AB$19,"MES","ABRIL","GÉNERO ","MASCULINO ")</f>
        <v>15</v>
      </c>
    </row>
    <row r="8" spans="1:30" ht="15" x14ac:dyDescent="0.3">
      <c r="A8" s="28" t="s">
        <v>2</v>
      </c>
      <c r="C8" s="85"/>
      <c r="L8" s="152" t="s">
        <v>1042</v>
      </c>
      <c r="M8" s="146"/>
      <c r="N8" s="147"/>
      <c r="O8" s="59">
        <f>Clasificaciones!N7</f>
        <v>5</v>
      </c>
      <c r="AB8" s="23" t="s">
        <v>109</v>
      </c>
      <c r="AC8" s="34">
        <f>GETPIVOTDATA("PERSONAS ATENDIDAS",$AB$19,"MES","MAYO","GÉNERO ","FEMENINO ")</f>
        <v>4</v>
      </c>
      <c r="AD8" s="34">
        <f>GETPIVOTDATA("PERSONAS ATENDIDAS",$AB$19,"MES","MAYO","GÉNERO ","MASCULINO ")</f>
        <v>10</v>
      </c>
    </row>
    <row r="9" spans="1:30" ht="15" customHeight="1" x14ac:dyDescent="0.2">
      <c r="A9" s="27" t="s">
        <v>852</v>
      </c>
      <c r="C9" s="85"/>
      <c r="L9" s="149" t="s">
        <v>1047</v>
      </c>
      <c r="M9" s="150"/>
      <c r="N9" s="151"/>
      <c r="O9" s="49">
        <f>Clasificaciones!N8</f>
        <v>100</v>
      </c>
      <c r="AB9" s="23" t="s">
        <v>110</v>
      </c>
      <c r="AC9" s="34">
        <f>Clasificaciones!AU8</f>
        <v>0</v>
      </c>
      <c r="AD9" s="34">
        <f>Clasificaciones!AV8</f>
        <v>0</v>
      </c>
    </row>
    <row r="10" spans="1:30" ht="15" x14ac:dyDescent="0.3">
      <c r="A10" s="28" t="s">
        <v>2</v>
      </c>
      <c r="C10" s="85"/>
      <c r="L10" s="152" t="s">
        <v>1043</v>
      </c>
      <c r="M10" s="146"/>
      <c r="N10" s="147"/>
      <c r="O10" s="59">
        <f>Clasificaciones!N9</f>
        <v>25</v>
      </c>
      <c r="AB10" s="23" t="s">
        <v>111</v>
      </c>
      <c r="AC10" s="34">
        <f>Clasificaciones!AU9</f>
        <v>0</v>
      </c>
      <c r="AD10" s="34">
        <f>Clasificaciones!AV9</f>
        <v>0</v>
      </c>
    </row>
    <row r="11" spans="1:30" ht="15" x14ac:dyDescent="0.3">
      <c r="A11" s="27" t="s">
        <v>674</v>
      </c>
      <c r="C11" s="85"/>
      <c r="L11" s="152" t="s">
        <v>1044</v>
      </c>
      <c r="M11" s="146"/>
      <c r="N11" s="147"/>
      <c r="O11" s="59">
        <f>Clasificaciones!N10</f>
        <v>0</v>
      </c>
      <c r="AB11" s="23" t="s">
        <v>112</v>
      </c>
      <c r="AC11" s="34">
        <f>Clasificaciones!AU10</f>
        <v>0</v>
      </c>
      <c r="AD11" s="34">
        <f>Clasificaciones!AV10</f>
        <v>0</v>
      </c>
    </row>
    <row r="12" spans="1:30" ht="15" x14ac:dyDescent="0.3">
      <c r="A12" s="28" t="s">
        <v>2</v>
      </c>
      <c r="L12" s="152" t="s">
        <v>1045</v>
      </c>
      <c r="M12" s="146"/>
      <c r="N12" s="147"/>
      <c r="O12" s="59">
        <f>Clasificaciones!N11</f>
        <v>0</v>
      </c>
      <c r="AB12" s="23" t="s">
        <v>113</v>
      </c>
      <c r="AC12" s="34">
        <f>Clasificaciones!AU11</f>
        <v>0</v>
      </c>
      <c r="AD12" s="34">
        <f>Clasificaciones!AV11</f>
        <v>0</v>
      </c>
    </row>
    <row r="13" spans="1:30" ht="15" x14ac:dyDescent="0.3">
      <c r="A13" s="27" t="s">
        <v>153</v>
      </c>
      <c r="L13" s="152" t="s">
        <v>1046</v>
      </c>
      <c r="M13" s="146"/>
      <c r="N13" s="147"/>
      <c r="O13" s="59">
        <f>Clasificaciones!N12</f>
        <v>2</v>
      </c>
      <c r="AB13" s="23" t="s">
        <v>114</v>
      </c>
      <c r="AC13" s="34">
        <f>Clasificaciones!AU12</f>
        <v>0</v>
      </c>
      <c r="AD13" s="34">
        <f>Clasificaciones!AV12</f>
        <v>0</v>
      </c>
    </row>
    <row r="14" spans="1:30" ht="15" x14ac:dyDescent="0.3">
      <c r="L14" s="145" t="s">
        <v>1048</v>
      </c>
      <c r="M14" s="146"/>
      <c r="N14" s="147"/>
      <c r="O14" s="59">
        <f>Clasificaciones!N13</f>
        <v>33</v>
      </c>
      <c r="AB14" s="23" t="s">
        <v>115</v>
      </c>
      <c r="AC14" s="34">
        <f>Clasificaciones!AU13</f>
        <v>0</v>
      </c>
      <c r="AD14" s="94">
        <f>Clasificaciones!AV13</f>
        <v>0</v>
      </c>
    </row>
    <row r="15" spans="1:30" ht="15" x14ac:dyDescent="0.3">
      <c r="L15" s="145" t="s">
        <v>1049</v>
      </c>
      <c r="M15" s="146"/>
      <c r="N15" s="147"/>
      <c r="O15" s="59">
        <f>Clasificaciones!N14</f>
        <v>9</v>
      </c>
      <c r="AB15" s="23" t="s">
        <v>116</v>
      </c>
      <c r="AC15" s="34">
        <f>Clasificaciones!AU19</f>
        <v>0</v>
      </c>
      <c r="AD15" s="94">
        <f>Clasificaciones!AV19</f>
        <v>0</v>
      </c>
    </row>
    <row r="16" spans="1:30" ht="15" x14ac:dyDescent="0.3">
      <c r="L16" s="148" t="s">
        <v>128</v>
      </c>
      <c r="M16" s="148"/>
      <c r="N16" s="148"/>
      <c r="O16" s="74">
        <f>SUM(O3:O15)</f>
        <v>296</v>
      </c>
      <c r="AB16" s="95" t="s">
        <v>1078</v>
      </c>
      <c r="AC16" s="96">
        <f>SUM(AC4:AC15)</f>
        <v>38</v>
      </c>
      <c r="AD16" s="96">
        <f>SUM(AD4:AD15)</f>
        <v>73</v>
      </c>
    </row>
    <row r="17" spans="12:39" x14ac:dyDescent="0.2">
      <c r="R17" s="26" t="s">
        <v>600</v>
      </c>
      <c r="S17" t="s">
        <v>599</v>
      </c>
    </row>
    <row r="18" spans="12:39" ht="30" customHeight="1" x14ac:dyDescent="0.2">
      <c r="L18" s="153" t="s">
        <v>683</v>
      </c>
      <c r="M18" s="157"/>
      <c r="N18" s="158"/>
      <c r="O18" s="55" t="s">
        <v>120</v>
      </c>
      <c r="R18" s="26" t="s">
        <v>146</v>
      </c>
      <c r="S18" t="s">
        <v>1052</v>
      </c>
    </row>
    <row r="19" spans="12:39" ht="15" x14ac:dyDescent="0.3">
      <c r="L19" s="152" t="s">
        <v>165</v>
      </c>
      <c r="M19" s="146"/>
      <c r="N19" s="147"/>
      <c r="O19" s="59" t="e">
        <f>GETPIVOTDATA("No. DE TURNO",$R$20,"CLASIFICACIÓN ","1.- ADEUDO ")</f>
        <v>#REF!</v>
      </c>
      <c r="AB19" s="26" t="s">
        <v>1080</v>
      </c>
      <c r="AC19" s="26" t="s">
        <v>596</v>
      </c>
    </row>
    <row r="20" spans="12:39" ht="15" x14ac:dyDescent="0.3">
      <c r="L20" s="152" t="s">
        <v>166</v>
      </c>
      <c r="M20" s="146"/>
      <c r="N20" s="147"/>
      <c r="O20" s="59" t="e">
        <f>GETPIVOTDATA("No. DE TURNO",$R$20,"CLASIFICACIÓN ","2.- ALUMBRADO PÚBLICO")</f>
        <v>#REF!</v>
      </c>
      <c r="R20" s="26" t="s">
        <v>152</v>
      </c>
      <c r="AB20" s="26" t="s">
        <v>152</v>
      </c>
      <c r="AC20" t="s">
        <v>189</v>
      </c>
      <c r="AD20" t="s">
        <v>188</v>
      </c>
      <c r="AE20" t="s">
        <v>674</v>
      </c>
      <c r="AF20" t="s">
        <v>153</v>
      </c>
    </row>
    <row r="21" spans="12:39" ht="15" x14ac:dyDescent="0.3">
      <c r="L21" s="152" t="s">
        <v>1039</v>
      </c>
      <c r="M21" s="146"/>
      <c r="N21" s="147"/>
      <c r="O21" s="59" t="e">
        <f>GETPIVOTDATA("No. DE TURNO",$R$20,"CLASIFICACIÓN ","3.- ELECTRIFICACIÓN")</f>
        <v>#REF!</v>
      </c>
      <c r="R21" s="27" t="s">
        <v>165</v>
      </c>
      <c r="T21" s="85"/>
      <c r="U21" s="85"/>
      <c r="AB21" s="27" t="s">
        <v>105</v>
      </c>
      <c r="AC21" s="85">
        <v>3</v>
      </c>
      <c r="AD21" s="85">
        <v>3</v>
      </c>
      <c r="AE21" s="85"/>
      <c r="AF21" s="85">
        <v>6</v>
      </c>
    </row>
    <row r="22" spans="12:39" ht="15" x14ac:dyDescent="0.3">
      <c r="L22" s="152" t="s">
        <v>1040</v>
      </c>
      <c r="M22" s="146"/>
      <c r="N22" s="147"/>
      <c r="O22" s="59" t="e">
        <f>GETPIVOTDATA("No. DE TURNO",$R$20,"CLASIFICACIÓN ","4.- ENERGÍA RENOVABLE (SOLAR, EÓLICA)")</f>
        <v>#REF!</v>
      </c>
      <c r="R22" s="27" t="s">
        <v>166</v>
      </c>
      <c r="T22" s="85"/>
      <c r="U22" s="85"/>
      <c r="AB22" s="27" t="s">
        <v>106</v>
      </c>
      <c r="AC22" s="85">
        <v>9</v>
      </c>
      <c r="AD22" s="85">
        <v>23</v>
      </c>
      <c r="AE22" s="85">
        <v>0</v>
      </c>
      <c r="AF22" s="85">
        <v>32</v>
      </c>
    </row>
    <row r="23" spans="12:39" ht="15" customHeight="1" x14ac:dyDescent="0.3">
      <c r="L23" s="152" t="s">
        <v>1042</v>
      </c>
      <c r="M23" s="146"/>
      <c r="N23" s="147"/>
      <c r="O23" s="59" t="e">
        <f>GETPIVOTDATA("No. DE TURNO",$R$20,"CLASIFICACIÓN ","6.- INFRAESTRUCTURA ELÉCTRICA")</f>
        <v>#REF!</v>
      </c>
      <c r="R23" s="27" t="s">
        <v>1047</v>
      </c>
      <c r="T23" s="85"/>
      <c r="U23" s="85"/>
      <c r="AB23" s="27" t="s">
        <v>107</v>
      </c>
      <c r="AC23" s="85">
        <v>13</v>
      </c>
      <c r="AD23" s="85">
        <v>22</v>
      </c>
      <c r="AE23" s="85">
        <v>2</v>
      </c>
      <c r="AF23" s="85">
        <v>37</v>
      </c>
    </row>
    <row r="24" spans="12:39" ht="30" customHeight="1" x14ac:dyDescent="0.3">
      <c r="L24" s="149" t="s">
        <v>1047</v>
      </c>
      <c r="M24" s="150"/>
      <c r="N24" s="151"/>
      <c r="O24" s="59" t="e">
        <f>GETPIVOTDATA("No. DE TURNO",$R$20,"CLASIFICACIÓN ","7.- INVITACIONES/EXPOS/CONGRESOS/TEMAS ADMINISTRATIVOS/CAPACITACIONES/ATENCIÓN A EMPRESAS/ELECTROMOVILIDAD/OTROS  ")</f>
        <v>#REF!</v>
      </c>
      <c r="R24" s="27" t="s">
        <v>1043</v>
      </c>
      <c r="T24" s="85"/>
      <c r="U24" s="85"/>
      <c r="AB24" s="27" t="s">
        <v>108</v>
      </c>
      <c r="AC24" s="85">
        <v>9</v>
      </c>
      <c r="AD24" s="85">
        <v>15</v>
      </c>
      <c r="AE24" s="85">
        <v>1</v>
      </c>
      <c r="AF24" s="85">
        <v>25</v>
      </c>
    </row>
    <row r="25" spans="12:39" ht="15" x14ac:dyDescent="0.3">
      <c r="L25" s="152" t="s">
        <v>1043</v>
      </c>
      <c r="M25" s="146"/>
      <c r="N25" s="147"/>
      <c r="O25" s="59" t="e">
        <f>GETPIVOTDATA("No. DE TURNO",$R$20,"CLASIFICACIÓN ","8.- MEJORAS A LA RED")</f>
        <v>#REF!</v>
      </c>
      <c r="R25" s="27" t="s">
        <v>1039</v>
      </c>
      <c r="T25" s="85"/>
      <c r="U25" s="85"/>
      <c r="AB25" s="27" t="s">
        <v>109</v>
      </c>
      <c r="AC25" s="85">
        <v>4</v>
      </c>
      <c r="AD25" s="85">
        <v>10</v>
      </c>
      <c r="AE25" s="85">
        <v>6</v>
      </c>
      <c r="AF25" s="85">
        <v>20</v>
      </c>
    </row>
    <row r="26" spans="12:39" ht="15" customHeight="1" x14ac:dyDescent="0.3">
      <c r="L26" s="145" t="s">
        <v>1049</v>
      </c>
      <c r="M26" s="146"/>
      <c r="N26" s="147"/>
      <c r="O26" s="59" t="e">
        <f>GETPIVOTDATA("No. DE TURNO",$R$20,"CLASIFICACIÓN ","13.- REUBICACIÓN DE POSTES ")</f>
        <v>#REF!</v>
      </c>
      <c r="R26" s="27" t="s">
        <v>1040</v>
      </c>
      <c r="T26" s="85"/>
      <c r="U26" s="85"/>
      <c r="V26" s="21" t="s">
        <v>117</v>
      </c>
      <c r="W26" s="21" t="s">
        <v>680</v>
      </c>
      <c r="AB26" s="27" t="s">
        <v>674</v>
      </c>
      <c r="AC26" s="85"/>
      <c r="AD26" s="85"/>
      <c r="AE26" s="85"/>
      <c r="AF26" s="85"/>
    </row>
    <row r="27" spans="12:39" ht="15" customHeight="1" x14ac:dyDescent="0.3">
      <c r="L27" s="148" t="s">
        <v>128</v>
      </c>
      <c r="M27" s="148"/>
      <c r="N27" s="148"/>
      <c r="O27" s="37" t="e">
        <f>SUM(O19:O26)</f>
        <v>#REF!</v>
      </c>
      <c r="R27" s="27" t="s">
        <v>1042</v>
      </c>
      <c r="T27" s="85"/>
      <c r="U27" s="85"/>
      <c r="V27" s="6" t="s">
        <v>9</v>
      </c>
      <c r="W27" s="23">
        <v>4</v>
      </c>
      <c r="AB27" s="27" t="s">
        <v>153</v>
      </c>
      <c r="AC27" s="85">
        <v>38</v>
      </c>
      <c r="AD27" s="85">
        <v>73</v>
      </c>
      <c r="AE27" s="85">
        <v>9</v>
      </c>
      <c r="AF27" s="85">
        <v>120</v>
      </c>
    </row>
    <row r="28" spans="12:39" x14ac:dyDescent="0.2">
      <c r="R28" s="27" t="s">
        <v>1049</v>
      </c>
      <c r="T28" s="85"/>
      <c r="U28" s="85"/>
      <c r="V28" s="6" t="s">
        <v>10</v>
      </c>
      <c r="W28" s="23">
        <v>1</v>
      </c>
    </row>
    <row r="29" spans="12:39" x14ac:dyDescent="0.2">
      <c r="R29" s="27" t="s">
        <v>1740</v>
      </c>
      <c r="T29" s="85"/>
      <c r="U29" s="85"/>
      <c r="V29" s="6" t="s">
        <v>11</v>
      </c>
      <c r="W29" s="23">
        <v>1</v>
      </c>
    </row>
    <row r="30" spans="12:39" ht="30" x14ac:dyDescent="0.2">
      <c r="R30" s="27" t="s">
        <v>153</v>
      </c>
      <c r="V30" s="6" t="s">
        <v>13</v>
      </c>
      <c r="W30" s="23">
        <v>4</v>
      </c>
      <c r="AB30" s="10" t="s">
        <v>123</v>
      </c>
      <c r="AC30" s="10" t="s">
        <v>678</v>
      </c>
      <c r="AD30" s="10" t="s">
        <v>679</v>
      </c>
      <c r="AM30" s="24"/>
    </row>
    <row r="31" spans="12:39" x14ac:dyDescent="0.2">
      <c r="R31" s="26" t="s">
        <v>600</v>
      </c>
      <c r="S31" t="s">
        <v>598</v>
      </c>
      <c r="V31" s="6" t="s">
        <v>15</v>
      </c>
      <c r="W31" s="23">
        <v>1</v>
      </c>
      <c r="AB31" s="23" t="s">
        <v>105</v>
      </c>
      <c r="AC31" s="34">
        <f>GETPIVOTDATA("Beneficiarios Indirectos",$AB$45,"MES","ENERO","GÉNERO ","FEMENINO ")</f>
        <v>604</v>
      </c>
      <c r="AD31" s="34">
        <f>GETPIVOTDATA("Beneficiarios Indirectos",$AB$45,"MES","ENERO","GÉNERO ","MASCULINO ")</f>
        <v>104</v>
      </c>
    </row>
    <row r="32" spans="12:39" ht="15" customHeight="1" x14ac:dyDescent="0.2">
      <c r="L32" s="153" t="s">
        <v>1050</v>
      </c>
      <c r="M32" s="157"/>
      <c r="N32" s="158"/>
      <c r="O32" s="55" t="s">
        <v>120</v>
      </c>
      <c r="R32" s="26" t="s">
        <v>146</v>
      </c>
      <c r="S32" t="s">
        <v>1052</v>
      </c>
      <c r="V32" s="6" t="s">
        <v>16</v>
      </c>
      <c r="W32" s="23">
        <v>2</v>
      </c>
      <c r="AB32" s="23" t="s">
        <v>106</v>
      </c>
      <c r="AC32" s="34">
        <f>GETPIVOTDATA("Beneficiarios Indirectos",$AB$45,"MES","FEBRERO","GÉNERO ","FEMENINO ")</f>
        <v>355</v>
      </c>
      <c r="AD32" s="34">
        <f>GETPIVOTDATA("Beneficiarios Indirectos",$AB$45,"MES","FEBRERO","GÉNERO ","MASCULINO ")</f>
        <v>2412</v>
      </c>
    </row>
    <row r="33" spans="12:32" ht="15" x14ac:dyDescent="0.3">
      <c r="L33" s="152" t="s">
        <v>166</v>
      </c>
      <c r="M33" s="146"/>
      <c r="N33" s="147"/>
      <c r="O33" s="59" t="e">
        <f>GETPIVOTDATA("No. DE TURNO",$R$34,"CLASIFICACIÓN ","2.- ALUMBRADO PÚBLICO")</f>
        <v>#REF!</v>
      </c>
      <c r="V33" s="6" t="s">
        <v>18</v>
      </c>
      <c r="W33" s="23">
        <v>2</v>
      </c>
      <c r="AB33" s="23" t="s">
        <v>107</v>
      </c>
      <c r="AC33" s="34">
        <f>GETPIVOTDATA("Beneficiarios Indirectos",$AB$45,"MES","MARZO","GÉNERO ","FEMENINO ")</f>
        <v>402</v>
      </c>
      <c r="AD33" s="34">
        <f>GETPIVOTDATA("Beneficiarios Indirectos",$AB$45,"MES","MARZO","GÉNERO ","MASCULINO ")</f>
        <v>4222</v>
      </c>
    </row>
    <row r="34" spans="12:32" ht="15" x14ac:dyDescent="0.3">
      <c r="L34" s="152" t="s">
        <v>1039</v>
      </c>
      <c r="M34" s="146"/>
      <c r="N34" s="147"/>
      <c r="O34" s="59" t="e">
        <f>GETPIVOTDATA("No. DE TURNO",$R$34,"CLASIFICACIÓN ","3.- ELECTRIFICACIÓN")</f>
        <v>#REF!</v>
      </c>
      <c r="R34" s="26" t="s">
        <v>152</v>
      </c>
      <c r="V34" s="6" t="s">
        <v>19</v>
      </c>
      <c r="W34" s="23">
        <v>2</v>
      </c>
      <c r="AB34" s="23" t="s">
        <v>108</v>
      </c>
      <c r="AC34" s="34">
        <f>GETPIVOTDATA("Beneficiarios Indirectos",$AB$45,"MES","ABRIL","GÉNERO ","FEMENINO ")</f>
        <v>1692</v>
      </c>
      <c r="AD34" s="34">
        <f>GETPIVOTDATA("Beneficiarios Indirectos",$AB$45,"MES","ABRIL","GÉNERO ","MASCULINO ")</f>
        <v>1004</v>
      </c>
    </row>
    <row r="35" spans="12:32" ht="15" customHeight="1" x14ac:dyDescent="0.2">
      <c r="L35" s="149" t="s">
        <v>1047</v>
      </c>
      <c r="M35" s="150"/>
      <c r="N35" s="151"/>
      <c r="O35" s="49" t="e">
        <f>GETPIVOTDATA("No. DE TURNO",$R$34,"CLASIFICACIÓN ","7.- INVITACIONES/EXPOS/CONGRESOS/TEMAS ADMINISTRATIVOS/CAPACITACIONES/ATENCIÓN A EMPRESAS/ELECTROMOVILIDAD/OTROS  ")</f>
        <v>#REF!</v>
      </c>
      <c r="R35" s="27" t="s">
        <v>166</v>
      </c>
      <c r="T35" s="85"/>
      <c r="U35" s="85"/>
      <c r="V35" s="6" t="s">
        <v>20</v>
      </c>
      <c r="W35" s="23">
        <v>1</v>
      </c>
      <c r="AB35" s="23" t="s">
        <v>109</v>
      </c>
      <c r="AC35" s="23">
        <f>GETPIVOTDATA("Beneficiarios Indirectos",$AB$45,"MES","MAYO","GÉNERO ","FEMENINO ")</f>
        <v>4</v>
      </c>
      <c r="AD35" s="23">
        <f>GETPIVOTDATA("Beneficiarios Indirectos",$AB$45,"MES","MAYO","GÉNERO ","MASCULINO ")</f>
        <v>2430</v>
      </c>
    </row>
    <row r="36" spans="12:32" ht="15" x14ac:dyDescent="0.3">
      <c r="L36" s="148" t="s">
        <v>128</v>
      </c>
      <c r="M36" s="148"/>
      <c r="N36" s="148"/>
      <c r="O36" s="74" t="e">
        <f>SUM(O33:O35)</f>
        <v>#REF!</v>
      </c>
      <c r="R36" s="27" t="s">
        <v>1047</v>
      </c>
      <c r="T36" s="85"/>
      <c r="U36" s="85"/>
      <c r="V36" s="6" t="s">
        <v>21</v>
      </c>
      <c r="W36" s="23">
        <v>2</v>
      </c>
      <c r="AB36" s="23" t="s">
        <v>110</v>
      </c>
      <c r="AC36" s="34">
        <f>Clasificaciones!AU37</f>
        <v>0</v>
      </c>
      <c r="AD36" s="34">
        <f>Clasificaciones!AV37</f>
        <v>0</v>
      </c>
    </row>
    <row r="37" spans="12:32" x14ac:dyDescent="0.2">
      <c r="R37" s="27" t="s">
        <v>153</v>
      </c>
      <c r="T37" s="85"/>
      <c r="U37" s="85"/>
      <c r="V37" s="6" t="s">
        <v>24</v>
      </c>
      <c r="W37" s="23">
        <v>4</v>
      </c>
      <c r="AB37" s="23" t="s">
        <v>111</v>
      </c>
      <c r="AC37" s="34">
        <f>Clasificaciones!AU38</f>
        <v>0</v>
      </c>
      <c r="AD37" s="34">
        <f>Clasificaciones!AV38</f>
        <v>0</v>
      </c>
    </row>
    <row r="38" spans="12:32" x14ac:dyDescent="0.2">
      <c r="T38" s="85"/>
      <c r="U38" s="85"/>
      <c r="V38" s="6" t="s">
        <v>25</v>
      </c>
      <c r="W38" s="23">
        <v>1</v>
      </c>
      <c r="AB38" s="23" t="s">
        <v>112</v>
      </c>
      <c r="AC38" s="34">
        <f>Clasificaciones!AU39</f>
        <v>0</v>
      </c>
      <c r="AD38" s="34">
        <f>Clasificaciones!AV39</f>
        <v>0</v>
      </c>
    </row>
    <row r="39" spans="12:32" x14ac:dyDescent="0.2">
      <c r="V39" s="6" t="s">
        <v>27</v>
      </c>
      <c r="W39" s="23">
        <v>1</v>
      </c>
      <c r="AB39" s="23" t="s">
        <v>113</v>
      </c>
      <c r="AC39" s="34">
        <f>Clasificaciones!AU40</f>
        <v>0</v>
      </c>
      <c r="AD39" s="34">
        <f>Clasificaciones!AV40</f>
        <v>0</v>
      </c>
    </row>
    <row r="40" spans="12:32" x14ac:dyDescent="0.2">
      <c r="V40" s="6" t="s">
        <v>29</v>
      </c>
      <c r="W40" s="23">
        <v>2</v>
      </c>
      <c r="AB40" s="23" t="s">
        <v>114</v>
      </c>
      <c r="AC40" s="34">
        <f>Clasificaciones!AU41</f>
        <v>0</v>
      </c>
      <c r="AD40" s="34">
        <f>Clasificaciones!AV41</f>
        <v>0</v>
      </c>
    </row>
    <row r="41" spans="12:32" x14ac:dyDescent="0.2">
      <c r="R41" s="26" t="s">
        <v>146</v>
      </c>
      <c r="S41" t="s">
        <v>1052</v>
      </c>
      <c r="V41" s="6" t="s">
        <v>31</v>
      </c>
      <c r="W41" s="23">
        <v>1</v>
      </c>
      <c r="AB41" s="23" t="s">
        <v>115</v>
      </c>
      <c r="AC41" s="34">
        <f>Clasificaciones!AU42</f>
        <v>0</v>
      </c>
      <c r="AD41" s="34">
        <f>Clasificaciones!AV42</f>
        <v>0</v>
      </c>
    </row>
    <row r="42" spans="12:32" x14ac:dyDescent="0.2">
      <c r="V42" s="6" t="s">
        <v>33</v>
      </c>
      <c r="W42" s="23">
        <v>1</v>
      </c>
      <c r="AB42" s="23" t="s">
        <v>116</v>
      </c>
      <c r="AC42" s="34">
        <f>Clasificaciones!AU43</f>
        <v>0</v>
      </c>
      <c r="AD42" s="34">
        <f>Clasificaciones!AV43</f>
        <v>0</v>
      </c>
    </row>
    <row r="43" spans="12:32" ht="15" customHeight="1" x14ac:dyDescent="0.2">
      <c r="L43" s="153" t="s">
        <v>1051</v>
      </c>
      <c r="M43" s="154"/>
      <c r="N43" s="155"/>
      <c r="O43" s="55" t="s">
        <v>120</v>
      </c>
      <c r="R43" s="26" t="s">
        <v>152</v>
      </c>
      <c r="V43" s="6" t="s">
        <v>35</v>
      </c>
      <c r="W43" s="23">
        <v>4</v>
      </c>
      <c r="AB43" s="30" t="s">
        <v>124</v>
      </c>
      <c r="AC43" s="97">
        <f>SUM(AC31:AC42)</f>
        <v>3057</v>
      </c>
      <c r="AD43" s="97">
        <f>SUM(AD31:AD42)</f>
        <v>10172</v>
      </c>
    </row>
    <row r="44" spans="12:32" ht="15" x14ac:dyDescent="0.3">
      <c r="L44" s="152" t="s">
        <v>165</v>
      </c>
      <c r="M44" s="146"/>
      <c r="N44" s="147"/>
      <c r="O44" s="59" t="e">
        <f>GETPIVOTDATA("No. DE TURNO",$R$43,"¿SOLICITUD GESTIONADA ANTE CFE?","SI","CLASIFICACIÓN ","1.- ADEUDO ")</f>
        <v>#REF!</v>
      </c>
      <c r="R44" s="27" t="s">
        <v>2</v>
      </c>
      <c r="T44" s="85"/>
      <c r="U44" s="85"/>
      <c r="V44" s="6" t="s">
        <v>36</v>
      </c>
      <c r="W44" s="30">
        <v>10</v>
      </c>
    </row>
    <row r="45" spans="12:32" ht="15" x14ac:dyDescent="0.3">
      <c r="L45" s="152" t="s">
        <v>166</v>
      </c>
      <c r="M45" s="146"/>
      <c r="N45" s="147"/>
      <c r="O45" s="59" t="e">
        <f>GETPIVOTDATA("No. DE TURNO",$R$43,"¿SOLICITUD GESTIONADA ANTE CFE?","SI","CLASIFICACIÓN ","2.- ALUMBRADO PÚBLICO")</f>
        <v>#REF!</v>
      </c>
      <c r="R45" s="28" t="s">
        <v>165</v>
      </c>
      <c r="T45" s="85"/>
      <c r="U45" s="85"/>
      <c r="V45" s="6" t="s">
        <v>42</v>
      </c>
      <c r="W45" s="23">
        <v>3</v>
      </c>
      <c r="AB45" s="26" t="s">
        <v>675</v>
      </c>
      <c r="AC45" s="26" t="s">
        <v>596</v>
      </c>
    </row>
    <row r="46" spans="12:32" ht="15" x14ac:dyDescent="0.3">
      <c r="L46" s="152" t="s">
        <v>1039</v>
      </c>
      <c r="M46" s="146"/>
      <c r="N46" s="147"/>
      <c r="O46" s="59" t="e">
        <f>GETPIVOTDATA("No. DE TURNO",$R$43,"¿SOLICITUD GESTIONADA ANTE CFE?","SI","CLASIFICACIÓN ","3.- ELECTRIFICACIÓN")</f>
        <v>#REF!</v>
      </c>
      <c r="R46" s="28" t="s">
        <v>166</v>
      </c>
      <c r="T46" s="85"/>
      <c r="U46" s="85"/>
      <c r="V46" s="6" t="s">
        <v>51</v>
      </c>
      <c r="W46" s="23">
        <v>1</v>
      </c>
      <c r="AB46" s="26" t="s">
        <v>152</v>
      </c>
      <c r="AC46" t="s">
        <v>189</v>
      </c>
      <c r="AD46" t="s">
        <v>188</v>
      </c>
      <c r="AE46" t="s">
        <v>674</v>
      </c>
      <c r="AF46" t="s">
        <v>153</v>
      </c>
    </row>
    <row r="47" spans="12:32" ht="15" customHeight="1" x14ac:dyDescent="0.2">
      <c r="L47" s="149" t="s">
        <v>1047</v>
      </c>
      <c r="M47" s="150"/>
      <c r="N47" s="151"/>
      <c r="O47" s="49" t="e">
        <f>GETPIVOTDATA("No. DE TURNO",$R$43,"¿SOLICITUD GESTIONADA ANTE CFE?","SI","CLASIFICACIÓN ","7.- INVITACIONES/EXPOS/CONGRESOS/TEMAS ADMINISTRATIVOS/CAPACITACIONES/ATENCIÓN A EMPRESAS/ELECTROMOVILIDAD/OTROS  ")</f>
        <v>#REF!</v>
      </c>
      <c r="R47" s="28" t="s">
        <v>1043</v>
      </c>
      <c r="T47" s="85"/>
      <c r="U47" s="85"/>
      <c r="V47" s="6" t="s">
        <v>52</v>
      </c>
      <c r="W47" s="23">
        <v>4</v>
      </c>
      <c r="AB47" s="27" t="s">
        <v>105</v>
      </c>
      <c r="AC47" s="85">
        <v>604</v>
      </c>
      <c r="AD47" s="85">
        <v>104</v>
      </c>
      <c r="AE47" s="85"/>
      <c r="AF47" s="85">
        <v>708</v>
      </c>
    </row>
    <row r="48" spans="12:32" ht="15" x14ac:dyDescent="0.3">
      <c r="L48" s="152" t="s">
        <v>1043</v>
      </c>
      <c r="M48" s="146"/>
      <c r="N48" s="147"/>
      <c r="O48" s="59" t="e">
        <f>GETPIVOTDATA("No. DE TURNO",$R$43,"¿SOLICITUD GESTIONADA ANTE CFE?","SI","CLASIFICACIÓN ","8.- MEJORAS A LA RED")</f>
        <v>#REF!</v>
      </c>
      <c r="R48" s="28" t="s">
        <v>1039</v>
      </c>
      <c r="T48" s="85"/>
      <c r="U48" s="85"/>
      <c r="V48" s="6" t="s">
        <v>54</v>
      </c>
      <c r="W48" s="23">
        <v>1</v>
      </c>
      <c r="AB48" s="27" t="s">
        <v>106</v>
      </c>
      <c r="AC48" s="85">
        <v>355</v>
      </c>
      <c r="AD48" s="85">
        <v>2412</v>
      </c>
      <c r="AE48" s="85">
        <v>0</v>
      </c>
      <c r="AF48" s="85">
        <v>2767</v>
      </c>
    </row>
    <row r="49" spans="12:32" ht="15" x14ac:dyDescent="0.3">
      <c r="L49" s="145" t="s">
        <v>1049</v>
      </c>
      <c r="M49" s="146"/>
      <c r="N49" s="147"/>
      <c r="O49" s="59" t="e">
        <f>GETPIVOTDATA("No. DE TURNO",$R$43,"¿SOLICITUD GESTIONADA ANTE CFE?","SI","CLASIFICACIÓN ","13.- REUBICACIÓN DE POSTES ")</f>
        <v>#REF!</v>
      </c>
      <c r="R49" s="28" t="s">
        <v>1040</v>
      </c>
      <c r="T49" s="85"/>
      <c r="U49" s="85"/>
      <c r="V49" s="6" t="s">
        <v>55</v>
      </c>
      <c r="W49" s="30">
        <v>23</v>
      </c>
      <c r="AB49" s="27" t="s">
        <v>107</v>
      </c>
      <c r="AC49" s="85">
        <v>402</v>
      </c>
      <c r="AD49" s="85">
        <v>4222</v>
      </c>
      <c r="AE49" s="85">
        <v>0</v>
      </c>
      <c r="AF49" s="85">
        <v>4624</v>
      </c>
    </row>
    <row r="50" spans="12:32" ht="15" x14ac:dyDescent="0.3">
      <c r="L50" s="148" t="s">
        <v>128</v>
      </c>
      <c r="M50" s="148"/>
      <c r="N50" s="148"/>
      <c r="O50" s="74" t="e">
        <f>SUM(O44:O49)</f>
        <v>#REF!</v>
      </c>
      <c r="R50" s="28" t="s">
        <v>1042</v>
      </c>
      <c r="T50" s="85"/>
      <c r="U50" s="85"/>
      <c r="V50" s="6" t="s">
        <v>59</v>
      </c>
      <c r="W50" s="23">
        <v>3</v>
      </c>
      <c r="AB50" s="27" t="s">
        <v>108</v>
      </c>
      <c r="AC50" s="85">
        <v>1692</v>
      </c>
      <c r="AD50" s="85">
        <v>1004</v>
      </c>
      <c r="AE50" s="85">
        <v>0</v>
      </c>
      <c r="AF50" s="85">
        <v>2696</v>
      </c>
    </row>
    <row r="51" spans="12:32" x14ac:dyDescent="0.2">
      <c r="R51" s="28" t="s">
        <v>1049</v>
      </c>
      <c r="T51" s="85"/>
      <c r="U51" s="85"/>
      <c r="V51" s="6" t="s">
        <v>60</v>
      </c>
      <c r="W51" s="23">
        <v>1</v>
      </c>
      <c r="AB51" s="27" t="s">
        <v>109</v>
      </c>
      <c r="AC51" s="85">
        <v>4</v>
      </c>
      <c r="AD51" s="85">
        <v>2430</v>
      </c>
      <c r="AE51" s="85">
        <v>0</v>
      </c>
      <c r="AF51" s="85">
        <v>2434</v>
      </c>
    </row>
    <row r="52" spans="12:32" x14ac:dyDescent="0.2">
      <c r="R52" s="26" t="s">
        <v>146</v>
      </c>
      <c r="S52" t="s">
        <v>1052</v>
      </c>
      <c r="V52" s="6" t="s">
        <v>63</v>
      </c>
      <c r="W52" s="23">
        <v>1</v>
      </c>
      <c r="AB52" s="27" t="s">
        <v>674</v>
      </c>
      <c r="AC52" s="85"/>
      <c r="AD52" s="85"/>
      <c r="AE52" s="85"/>
      <c r="AF52" s="85"/>
    </row>
    <row r="53" spans="12:32" x14ac:dyDescent="0.2">
      <c r="V53" s="6" t="s">
        <v>64</v>
      </c>
      <c r="W53" s="23">
        <v>1</v>
      </c>
      <c r="AB53" s="27" t="s">
        <v>153</v>
      </c>
      <c r="AC53" s="85">
        <v>3057</v>
      </c>
      <c r="AD53" s="85">
        <v>10172</v>
      </c>
      <c r="AE53" s="85">
        <v>0</v>
      </c>
      <c r="AF53" s="85">
        <v>13229</v>
      </c>
    </row>
    <row r="54" spans="12:32" ht="15" customHeight="1" x14ac:dyDescent="0.2">
      <c r="L54" s="153" t="s">
        <v>1053</v>
      </c>
      <c r="M54" s="154"/>
      <c r="N54" s="155"/>
      <c r="O54" s="55" t="s">
        <v>120</v>
      </c>
      <c r="R54" s="26" t="s">
        <v>152</v>
      </c>
      <c r="S54" t="s">
        <v>597</v>
      </c>
      <c r="V54" s="6" t="s">
        <v>65</v>
      </c>
      <c r="W54" s="23">
        <v>2</v>
      </c>
    </row>
    <row r="55" spans="12:32" ht="15" x14ac:dyDescent="0.3">
      <c r="L55" s="152" t="s">
        <v>165</v>
      </c>
      <c r="M55" s="146"/>
      <c r="N55" s="147"/>
      <c r="O55" s="59">
        <f>GETPIVOTDATA("No. DE TURNO",$R$54,"¿CFE DIO RESPUESTA?","SI","CLASIFICACIÓN ","1.- ADEUDO ")</f>
        <v>1</v>
      </c>
      <c r="R55" s="27" t="s">
        <v>2</v>
      </c>
      <c r="S55" s="85">
        <v>8</v>
      </c>
      <c r="V55" s="6" t="s">
        <v>68</v>
      </c>
      <c r="W55" s="23">
        <v>4</v>
      </c>
    </row>
    <row r="56" spans="12:32" ht="15" x14ac:dyDescent="0.3">
      <c r="L56" s="152" t="s">
        <v>1039</v>
      </c>
      <c r="M56" s="146"/>
      <c r="N56" s="147"/>
      <c r="O56" s="59">
        <f>GETPIVOTDATA("No. DE TURNO",$R$54,"¿CFE DIO RESPUESTA?","SI","CLASIFICACIÓN ","3.- ELECTRIFICACIÓN")</f>
        <v>4</v>
      </c>
      <c r="R56" s="28" t="s">
        <v>165</v>
      </c>
      <c r="S56" s="85">
        <v>1</v>
      </c>
      <c r="V56" s="6" t="s">
        <v>69</v>
      </c>
      <c r="W56" s="23">
        <v>1</v>
      </c>
    </row>
    <row r="57" spans="12:32" ht="15" customHeight="1" x14ac:dyDescent="0.2">
      <c r="L57" s="149" t="s">
        <v>1047</v>
      </c>
      <c r="M57" s="150"/>
      <c r="N57" s="151"/>
      <c r="O57" s="49" t="e">
        <f>GETPIVOTDATA("No. DE TURNO",$R$43,"¿SOLICITUD GESTIONADA ANTE CFE?","SI","CLASIFICACIÓN ","7.- INVITACIONES/EXPOS/CONGRESOS/TEMAS ADMINISTRATIVOS/CAPACITACIONES/ATENCIÓN A EMPRESAS/ELECTROMOVILIDAD/OTROS  ")</f>
        <v>#REF!</v>
      </c>
      <c r="R57" s="28" t="s">
        <v>1039</v>
      </c>
      <c r="S57" s="85">
        <v>4</v>
      </c>
      <c r="V57" s="6" t="s">
        <v>74</v>
      </c>
      <c r="W57" s="23">
        <v>1</v>
      </c>
    </row>
    <row r="58" spans="12:32" ht="15" x14ac:dyDescent="0.3">
      <c r="L58" s="152" t="s">
        <v>1043</v>
      </c>
      <c r="M58" s="146"/>
      <c r="N58" s="147"/>
      <c r="O58" s="59">
        <f>GETPIVOTDATA("No. DE TURNO",$R$54,"¿CFE DIO RESPUESTA?","SI","CLASIFICACIÓN ","8.- MEJORAS A LA RED")</f>
        <v>2</v>
      </c>
      <c r="R58" s="28" t="s">
        <v>1047</v>
      </c>
      <c r="S58" s="85">
        <v>1</v>
      </c>
      <c r="V58" s="6" t="s">
        <v>75</v>
      </c>
      <c r="W58" s="23">
        <v>1</v>
      </c>
    </row>
    <row r="59" spans="12:32" ht="15" x14ac:dyDescent="0.3">
      <c r="L59" s="148" t="s">
        <v>128</v>
      </c>
      <c r="M59" s="148"/>
      <c r="N59" s="148"/>
      <c r="O59" s="87" t="e">
        <f>SUM(O55:O58)</f>
        <v>#REF!</v>
      </c>
      <c r="R59" s="28" t="s">
        <v>1043</v>
      </c>
      <c r="S59" s="85">
        <v>2</v>
      </c>
      <c r="V59" s="6" t="s">
        <v>79</v>
      </c>
      <c r="W59" s="23">
        <v>1</v>
      </c>
    </row>
    <row r="60" spans="12:32" x14ac:dyDescent="0.2">
      <c r="R60" s="27" t="s">
        <v>153</v>
      </c>
      <c r="S60" s="85">
        <v>8</v>
      </c>
      <c r="V60" s="6" t="s">
        <v>80</v>
      </c>
      <c r="W60" s="23">
        <v>1</v>
      </c>
    </row>
    <row r="61" spans="12:32" x14ac:dyDescent="0.2">
      <c r="V61" s="6" t="s">
        <v>84</v>
      </c>
      <c r="W61" s="23">
        <v>4</v>
      </c>
    </row>
    <row r="62" spans="12:32" x14ac:dyDescent="0.2">
      <c r="V62" s="6" t="s">
        <v>89</v>
      </c>
      <c r="W62" s="23">
        <v>1</v>
      </c>
    </row>
    <row r="63" spans="12:32" x14ac:dyDescent="0.2">
      <c r="V63" s="6" t="s">
        <v>90</v>
      </c>
      <c r="W63" s="30">
        <v>8</v>
      </c>
    </row>
    <row r="64" spans="12:32" x14ac:dyDescent="0.2">
      <c r="V64" s="86" t="s">
        <v>128</v>
      </c>
      <c r="W64" s="30">
        <v>106</v>
      </c>
    </row>
    <row r="65" spans="22:23" x14ac:dyDescent="0.2">
      <c r="V65" s="26" t="s">
        <v>146</v>
      </c>
      <c r="W65" t="s">
        <v>1052</v>
      </c>
    </row>
    <row r="67" spans="22:23" x14ac:dyDescent="0.2">
      <c r="V67" s="26" t="s">
        <v>152</v>
      </c>
      <c r="W67" t="s">
        <v>597</v>
      </c>
    </row>
    <row r="68" spans="22:23" x14ac:dyDescent="0.2">
      <c r="V68" s="27" t="s">
        <v>55</v>
      </c>
      <c r="W68" s="85">
        <v>23</v>
      </c>
    </row>
    <row r="69" spans="22:23" x14ac:dyDescent="0.2">
      <c r="V69" s="28" t="s">
        <v>1049</v>
      </c>
      <c r="W69" s="85">
        <v>1</v>
      </c>
    </row>
    <row r="70" spans="22:23" x14ac:dyDescent="0.2">
      <c r="V70" s="28" t="s">
        <v>1047</v>
      </c>
      <c r="W70" s="85">
        <v>22</v>
      </c>
    </row>
    <row r="71" spans="22:23" x14ac:dyDescent="0.2">
      <c r="V71" s="27" t="s">
        <v>153</v>
      </c>
      <c r="W71" s="85">
        <v>23</v>
      </c>
    </row>
  </sheetData>
  <mergeCells count="49">
    <mergeCell ref="L58:N58"/>
    <mergeCell ref="L59:N59"/>
    <mergeCell ref="L54:N54"/>
    <mergeCell ref="L55:N55"/>
    <mergeCell ref="L56:N56"/>
    <mergeCell ref="L57:N57"/>
    <mergeCell ref="V3:V4"/>
    <mergeCell ref="L32:N32"/>
    <mergeCell ref="L27:N27"/>
    <mergeCell ref="L21:N21"/>
    <mergeCell ref="L22:N22"/>
    <mergeCell ref="L8:N8"/>
    <mergeCell ref="L9:N9"/>
    <mergeCell ref="L10:N10"/>
    <mergeCell ref="L11:N11"/>
    <mergeCell ref="L12:N12"/>
    <mergeCell ref="L25:N25"/>
    <mergeCell ref="L23:N23"/>
    <mergeCell ref="L24:N24"/>
    <mergeCell ref="L15:N15"/>
    <mergeCell ref="D2:D3"/>
    <mergeCell ref="I2:I3"/>
    <mergeCell ref="L18:N18"/>
    <mergeCell ref="L19:N19"/>
    <mergeCell ref="L20:N20"/>
    <mergeCell ref="E2:F2"/>
    <mergeCell ref="G2:H2"/>
    <mergeCell ref="L14:N14"/>
    <mergeCell ref="L16:N16"/>
    <mergeCell ref="L2:N2"/>
    <mergeCell ref="L3:N3"/>
    <mergeCell ref="L4:N4"/>
    <mergeCell ref="L5:N5"/>
    <mergeCell ref="L6:N6"/>
    <mergeCell ref="L7:N7"/>
    <mergeCell ref="L13:N13"/>
    <mergeCell ref="L36:N36"/>
    <mergeCell ref="L43:N43"/>
    <mergeCell ref="L44:N44"/>
    <mergeCell ref="L35:N35"/>
    <mergeCell ref="L26:N26"/>
    <mergeCell ref="L33:N33"/>
    <mergeCell ref="L34:N34"/>
    <mergeCell ref="L49:N49"/>
    <mergeCell ref="L50:N50"/>
    <mergeCell ref="L47:N47"/>
    <mergeCell ref="L48:N48"/>
    <mergeCell ref="L45:N45"/>
    <mergeCell ref="L46:N46"/>
  </mergeCells>
  <pageMargins left="0.7" right="0.7" top="0.75" bottom="0.75" header="0.3" footer="0.3"/>
  <pageSetup scale="29" orientation="portrait" r:id="rId9"/>
  <colBreaks count="3" manualBreakCount="3">
    <brk id="10" max="79" man="1"/>
    <brk id="20" max="79" man="1"/>
    <brk id="26" max="79" man="1"/>
  </colBreaks>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6"/>
  <sheetViews>
    <sheetView view="pageBreakPreview" zoomScale="72" zoomScaleNormal="72" zoomScaleSheetLayoutView="72" workbookViewId="0">
      <selection activeCell="F4" sqref="F4"/>
    </sheetView>
  </sheetViews>
  <sheetFormatPr baseColWidth="10" defaultColWidth="8.85546875" defaultRowHeight="15" x14ac:dyDescent="0.25"/>
  <cols>
    <col min="1" max="1" width="19.85546875" style="12" customWidth="1"/>
    <col min="2" max="2" width="13.140625" style="12" customWidth="1"/>
    <col min="3" max="4" width="14.28515625" style="12" customWidth="1"/>
    <col min="5" max="5" width="12.5703125" style="12" customWidth="1"/>
    <col min="6" max="6" width="80.140625" style="12" customWidth="1"/>
    <col min="7" max="7" width="23.85546875" style="12" customWidth="1"/>
    <col min="8" max="8" width="21.5703125" style="12" customWidth="1"/>
    <col min="9" max="9" width="35.5703125" style="12" customWidth="1"/>
    <col min="10" max="10" width="6.42578125" style="12" customWidth="1"/>
    <col min="11" max="11" width="24.7109375" style="12" bestFit="1" customWidth="1"/>
    <col min="12" max="12" width="9" style="12" bestFit="1" customWidth="1"/>
    <col min="13" max="13" width="11.28515625" style="12" bestFit="1" customWidth="1"/>
    <col min="14" max="14" width="11.140625" style="12" bestFit="1" customWidth="1"/>
    <col min="15" max="15" width="35.5703125" style="12" bestFit="1" customWidth="1"/>
    <col min="16" max="16" width="24.28515625" style="12" bestFit="1" customWidth="1"/>
    <col min="17" max="17" width="35.5703125" style="12" bestFit="1" customWidth="1"/>
    <col min="18" max="18" width="30.7109375" style="12" bestFit="1" customWidth="1"/>
    <col min="19" max="19" width="11.5703125" style="12" bestFit="1" customWidth="1"/>
    <col min="20" max="20" width="20.28515625" style="12" bestFit="1" customWidth="1"/>
    <col min="21" max="21" width="16.140625" style="12" bestFit="1" customWidth="1"/>
    <col min="22" max="22" width="16.28515625" style="12" bestFit="1" customWidth="1"/>
    <col min="23" max="23" width="14.5703125" style="12" bestFit="1" customWidth="1"/>
    <col min="24" max="24" width="14.7109375" style="12" customWidth="1"/>
    <col min="25" max="16384" width="8.85546875" style="12"/>
  </cols>
  <sheetData>
    <row r="1" spans="1:9" ht="54" customHeight="1" x14ac:dyDescent="0.25">
      <c r="A1" s="159" t="s">
        <v>159</v>
      </c>
      <c r="B1" s="159"/>
      <c r="C1" s="159"/>
      <c r="D1" s="159"/>
      <c r="E1" s="159"/>
      <c r="F1" s="159"/>
      <c r="G1" s="159"/>
      <c r="H1" s="159"/>
      <c r="I1" s="159"/>
    </row>
    <row r="2" spans="1:9" ht="68.25" customHeight="1" x14ac:dyDescent="0.25">
      <c r="A2" s="14" t="s">
        <v>139</v>
      </c>
      <c r="B2" s="14" t="s">
        <v>138</v>
      </c>
      <c r="C2" s="14" t="s">
        <v>137</v>
      </c>
      <c r="D2" s="14" t="s">
        <v>160</v>
      </c>
      <c r="E2" s="14" t="s">
        <v>136</v>
      </c>
      <c r="F2" s="14" t="s">
        <v>135</v>
      </c>
      <c r="G2" s="35" t="s">
        <v>156</v>
      </c>
      <c r="H2" s="35" t="s">
        <v>157</v>
      </c>
      <c r="I2" s="35" t="s">
        <v>158</v>
      </c>
    </row>
    <row r="3" spans="1:9" ht="76.5" customHeight="1" x14ac:dyDescent="0.25">
      <c r="A3" s="13"/>
      <c r="B3" s="13"/>
      <c r="C3" s="13"/>
      <c r="D3" s="13"/>
      <c r="E3" s="13"/>
      <c r="F3" s="13"/>
      <c r="G3" s="13"/>
      <c r="H3" s="13"/>
      <c r="I3" s="13"/>
    </row>
    <row r="4" spans="1:9" ht="76.5" customHeight="1" x14ac:dyDescent="0.25">
      <c r="A4" s="13"/>
      <c r="B4" s="13"/>
      <c r="C4" s="13"/>
      <c r="D4" s="13"/>
      <c r="E4" s="13"/>
      <c r="F4" s="13"/>
      <c r="G4" s="13"/>
      <c r="H4" s="13"/>
      <c r="I4" s="13"/>
    </row>
    <row r="5" spans="1:9" ht="76.5" customHeight="1" x14ac:dyDescent="0.25">
      <c r="A5" s="13"/>
      <c r="B5" s="13"/>
      <c r="C5" s="13"/>
      <c r="D5" s="13"/>
      <c r="E5" s="13"/>
      <c r="F5" s="13"/>
      <c r="G5" s="13"/>
      <c r="H5" s="13"/>
      <c r="I5" s="13"/>
    </row>
    <row r="6" spans="1:9" ht="76.5" customHeight="1" x14ac:dyDescent="0.25">
      <c r="A6" s="13"/>
      <c r="B6" s="13"/>
      <c r="C6" s="13"/>
      <c r="D6" s="13"/>
      <c r="E6" s="13"/>
      <c r="F6" s="13"/>
      <c r="G6" s="13"/>
      <c r="H6" s="13"/>
      <c r="I6" s="13"/>
    </row>
    <row r="7" spans="1:9" ht="76.5" customHeight="1" x14ac:dyDescent="0.25">
      <c r="A7" s="13"/>
      <c r="B7" s="13"/>
      <c r="C7" s="13"/>
      <c r="D7" s="13"/>
      <c r="E7" s="13"/>
      <c r="F7" s="13"/>
      <c r="G7" s="13"/>
      <c r="H7" s="13"/>
      <c r="I7" s="13"/>
    </row>
    <row r="8" spans="1:9" ht="76.5" customHeight="1" x14ac:dyDescent="0.25">
      <c r="A8" s="13"/>
      <c r="B8" s="13"/>
      <c r="C8" s="13"/>
      <c r="D8" s="13"/>
      <c r="E8" s="13"/>
      <c r="F8" s="13"/>
      <c r="G8" s="13"/>
      <c r="H8" s="13"/>
      <c r="I8" s="13"/>
    </row>
    <row r="9" spans="1:9" ht="76.5" customHeight="1" x14ac:dyDescent="0.25">
      <c r="A9" s="13"/>
      <c r="B9" s="13"/>
      <c r="C9" s="13"/>
      <c r="D9" s="13"/>
      <c r="E9" s="13"/>
      <c r="F9" s="13"/>
      <c r="G9" s="13"/>
      <c r="H9" s="13"/>
      <c r="I9" s="13"/>
    </row>
    <row r="10" spans="1:9" ht="76.5" customHeight="1" x14ac:dyDescent="0.25">
      <c r="A10" s="13"/>
      <c r="B10" s="13"/>
      <c r="C10" s="13"/>
      <c r="D10" s="13"/>
      <c r="E10" s="13"/>
      <c r="F10" s="13"/>
      <c r="G10" s="13"/>
      <c r="H10" s="13"/>
      <c r="I10" s="13"/>
    </row>
    <row r="11" spans="1:9" ht="76.5" customHeight="1" x14ac:dyDescent="0.25">
      <c r="A11" s="13"/>
      <c r="B11" s="13"/>
      <c r="C11" s="13"/>
      <c r="D11" s="13"/>
      <c r="E11" s="13"/>
      <c r="F11" s="13"/>
      <c r="G11" s="13"/>
      <c r="H11" s="13"/>
      <c r="I11" s="13"/>
    </row>
    <row r="12" spans="1:9" ht="76.5" customHeight="1" x14ac:dyDescent="0.25">
      <c r="A12" s="13"/>
      <c r="B12" s="13"/>
      <c r="C12" s="13"/>
      <c r="D12" s="13"/>
      <c r="E12" s="13"/>
      <c r="F12" s="13"/>
      <c r="G12" s="13"/>
      <c r="H12" s="13"/>
      <c r="I12" s="13"/>
    </row>
    <row r="13" spans="1:9" ht="30.75" customHeight="1" x14ac:dyDescent="0.25"/>
    <row r="14" spans="1:9" ht="30.75" customHeight="1" x14ac:dyDescent="0.25"/>
    <row r="15" spans="1:9" ht="30.75" customHeight="1" x14ac:dyDescent="0.25"/>
    <row r="16" spans="1:9" ht="30.75" customHeight="1" x14ac:dyDescent="0.25"/>
    <row r="17" ht="30.75" customHeight="1" x14ac:dyDescent="0.25"/>
    <row r="18" ht="30.75" customHeight="1" x14ac:dyDescent="0.25"/>
    <row r="19" ht="30.75" customHeight="1" x14ac:dyDescent="0.25"/>
    <row r="20" ht="30.75" customHeight="1" x14ac:dyDescent="0.25"/>
    <row r="21" ht="30.75" customHeight="1" x14ac:dyDescent="0.25"/>
    <row r="22" ht="30.75" customHeight="1" x14ac:dyDescent="0.25"/>
    <row r="23" ht="30.75" customHeight="1" x14ac:dyDescent="0.25"/>
    <row r="24" ht="30.75" customHeight="1" x14ac:dyDescent="0.25"/>
    <row r="25" ht="30.75" customHeight="1" x14ac:dyDescent="0.25"/>
    <row r="26" ht="30.75" customHeight="1" x14ac:dyDescent="0.25"/>
    <row r="27" ht="30.75" customHeight="1" x14ac:dyDescent="0.25"/>
    <row r="28" ht="30.75" customHeight="1" x14ac:dyDescent="0.25"/>
    <row r="29" ht="30.75" customHeight="1" x14ac:dyDescent="0.25"/>
    <row r="30" ht="30.75" customHeight="1" x14ac:dyDescent="0.25"/>
    <row r="31" ht="30.75" customHeight="1" x14ac:dyDescent="0.25"/>
    <row r="32" ht="30.75" customHeight="1" x14ac:dyDescent="0.25"/>
    <row r="33" ht="30.75" customHeight="1" x14ac:dyDescent="0.25"/>
    <row r="34" ht="30.75" customHeight="1" x14ac:dyDescent="0.25"/>
    <row r="35" ht="30.75" customHeight="1" x14ac:dyDescent="0.25"/>
    <row r="36" ht="30.75" customHeight="1" x14ac:dyDescent="0.25"/>
    <row r="37" ht="30.75" customHeight="1" x14ac:dyDescent="0.25"/>
    <row r="38" ht="30.75" customHeight="1" x14ac:dyDescent="0.25"/>
    <row r="39" ht="30.75" customHeight="1" x14ac:dyDescent="0.25"/>
    <row r="40" ht="30.75" customHeight="1" x14ac:dyDescent="0.25"/>
    <row r="41" ht="30.75" customHeight="1" x14ac:dyDescent="0.25"/>
    <row r="42" ht="30.75" customHeight="1" x14ac:dyDescent="0.25"/>
    <row r="43" ht="30.75" customHeight="1" x14ac:dyDescent="0.25"/>
    <row r="44" ht="30.75" customHeight="1" x14ac:dyDescent="0.25"/>
    <row r="45" ht="30.75" customHeight="1" x14ac:dyDescent="0.25"/>
    <row r="46" ht="30.75" customHeight="1" x14ac:dyDescent="0.25"/>
  </sheetData>
  <mergeCells count="1">
    <mergeCell ref="A1:I1"/>
  </mergeCells>
  <pageMargins left="0.25" right="0.25" top="0.75" bottom="0.75" header="0.3" footer="0.3"/>
  <pageSetup scale="5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Correspondencia AEEH 2026</vt:lpstr>
      <vt:lpstr>Clasificaciones</vt:lpstr>
      <vt:lpstr>INDICADORES</vt:lpstr>
      <vt:lpstr>Formato Correspondencia</vt:lpstr>
      <vt:lpstr>'Correspondencia AEEH 2026'!Área_de_impresión</vt:lpstr>
      <vt:lpstr>'Formato Correspondencia'!Área_de_impresión</vt:lpstr>
      <vt:lpstr>INDICADORES!Área_de_impresión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IHEMSYS DIRECCION GENERAL</dc:creator>
  <cp:lastModifiedBy>Hp</cp:lastModifiedBy>
  <cp:lastPrinted>2026-09-15T17:32:18Z</cp:lastPrinted>
  <dcterms:created xsi:type="dcterms:W3CDTF">2001-04-05T18:55:51Z</dcterms:created>
  <dcterms:modified xsi:type="dcterms:W3CDTF">2026-09-18T22:44:02Z</dcterms:modified>
</cp:coreProperties>
</file>